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always" defaultThemeVersion="153222"/>
  <bookViews>
    <workbookView visibility="veryHidden" xWindow="75" yWindow="75" windowWidth="6105" windowHeight="10335"/>
  </bookViews>
  <sheets>
    <sheet name="Sheet1" sheetId="1" r:id="rId1"/>
  </sheets>
  <externalReferences>
    <externalReference r:id="rId2"/>
  </externalReferences>
  <definedNames>
    <definedName name="Family">Sheet1!$A$2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<sst xmlns="http://schemas.openxmlformats.org/spreadsheetml/2006/main" count="31" uniqueCount="31">
  <si>
    <t>25. Stave A - C1</t>
  </si>
  <si>
    <t>24. Stave A - C1#</t>
  </si>
  <si>
    <t>23. Stave A - D1</t>
  </si>
  <si>
    <t>22. Stave A - D1#</t>
  </si>
  <si>
    <t>21. Stave A - E1</t>
  </si>
  <si>
    <t>20. Stave A - F1</t>
  </si>
  <si>
    <t>19. Stave A - F1#</t>
  </si>
  <si>
    <t>18. Stave A - G1</t>
  </si>
  <si>
    <t>17. Stave A - G1#</t>
  </si>
  <si>
    <t>16. Stave A - A1</t>
  </si>
  <si>
    <t>15. Stave A - A1#</t>
  </si>
  <si>
    <t>14. Stave A - B1</t>
  </si>
  <si>
    <t>13. Stave A - C2</t>
  </si>
  <si>
    <t>12. Stave A - C2#</t>
  </si>
  <si>
    <t>11. Stave A - D2</t>
  </si>
  <si>
    <t>10. Stave A - D2#</t>
  </si>
  <si>
    <t>09. Stave A - E2</t>
  </si>
  <si>
    <t>08. Stave A - F2</t>
  </si>
  <si>
    <t>07. Stave A - F2#</t>
  </si>
  <si>
    <t>06. Stave A - G2</t>
  </si>
  <si>
    <t>05. Stave A - G2#</t>
  </si>
  <si>
    <t>04. Stave A - A2</t>
  </si>
  <si>
    <t>03. Stave A - A2#</t>
  </si>
  <si>
    <t>02. Stave A - B2</t>
  </si>
  <si>
    <t>01. Stave A - C3</t>
  </si>
  <si>
    <t>D1@Cut To Length</t>
  </si>
  <si>
    <t>ISWA@Sketch1</t>
  </si>
  <si>
    <t>R@Sketch1</t>
  </si>
  <si>
    <t>t@Sketch1</t>
  </si>
  <si>
    <t>Theta@Sketch1</t>
  </si>
  <si>
    <t>Design Table for: Stave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</si>
</sst>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textRotation="90"/>
    </xf>
    <xf numFmtId="0" fontId="0" fillId="0" borderId="0" xfId="0" applyNumberFormat="1" applyAlignment="1">
      <alignment textRotation="90"/>
    </xf>
    <xf numFmtId="49" fontId="0" fillId="0" borderId="0" xfId="0" applyNumberFormat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ny\Documents\CAD\Wood%20Stave%20Instruments\Didgeridoos\Stave%20Didge%20Design%20Guideli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Variables"/>
      <sheetName val="Design Table"/>
      <sheetName val="Aspect Ratios"/>
      <sheetName val="Method"/>
    </sheetNames>
    <sheetDataSet>
      <sheetData sheetId="0">
        <row r="1">
          <cell r="B1">
            <v>0.75</v>
          </cell>
        </row>
        <row r="2">
          <cell r="D2">
            <v>30</v>
          </cell>
        </row>
      </sheetData>
      <sheetData sheetId="1">
        <row r="2">
          <cell r="D2">
            <v>0.625</v>
          </cell>
          <cell r="F2">
            <v>26.995927028261821</v>
          </cell>
          <cell r="G2">
            <v>0.62499999999999989</v>
          </cell>
        </row>
        <row r="3">
          <cell r="D3">
            <v>0.625</v>
          </cell>
          <cell r="F3">
            <v>28.57847829081501</v>
          </cell>
          <cell r="G3">
            <v>0.62499999999999989</v>
          </cell>
        </row>
        <row r="4">
          <cell r="D4">
            <v>0.625</v>
          </cell>
          <cell r="F4">
            <v>30.229967974682179</v>
          </cell>
          <cell r="G4">
            <v>0.62499999999999989</v>
          </cell>
        </row>
        <row r="5">
          <cell r="D5">
            <v>0.625</v>
          </cell>
          <cell r="F5">
            <v>32.032122405153899</v>
          </cell>
          <cell r="G5">
            <v>0.62499999999999989</v>
          </cell>
        </row>
        <row r="6">
          <cell r="D6">
            <v>0.75</v>
          </cell>
          <cell r="F6">
            <v>33.991547530022437</v>
          </cell>
          <cell r="G6">
            <v>0.74999999999999989</v>
          </cell>
        </row>
        <row r="7">
          <cell r="D7">
            <v>0.75</v>
          </cell>
          <cell r="F7">
            <v>35.983504740478871</v>
          </cell>
          <cell r="G7">
            <v>0.74999999999999989</v>
          </cell>
        </row>
        <row r="8">
          <cell r="D8">
            <v>0.75</v>
          </cell>
          <cell r="F8">
            <v>38.096307725047886</v>
          </cell>
          <cell r="G8">
            <v>0.74999999999999989</v>
          </cell>
        </row>
        <row r="9">
          <cell r="D9">
            <v>0.75</v>
          </cell>
          <cell r="F9">
            <v>40.334130850611956</v>
          </cell>
          <cell r="G9">
            <v>0.74999999999999989</v>
          </cell>
        </row>
        <row r="10">
          <cell r="D10">
            <v>0.875</v>
          </cell>
          <cell r="F10">
            <v>42.780593551352133</v>
          </cell>
          <cell r="G10">
            <v>0.87499999999999989</v>
          </cell>
        </row>
        <row r="11">
          <cell r="D11">
            <v>0.875</v>
          </cell>
          <cell r="F11">
            <v>45.295936803380421</v>
          </cell>
          <cell r="G11">
            <v>0.87499999999999989</v>
          </cell>
        </row>
        <row r="12">
          <cell r="D12">
            <v>0.875</v>
          </cell>
          <cell r="F12">
            <v>47.954630408157577</v>
          </cell>
          <cell r="G12">
            <v>0.87499999999999989</v>
          </cell>
        </row>
        <row r="13">
          <cell r="D13">
            <v>1</v>
          </cell>
          <cell r="F13">
            <v>50.849400643101433</v>
          </cell>
          <cell r="G13">
            <v>0.99999999999999989</v>
          </cell>
        </row>
        <row r="14">
          <cell r="D14">
            <v>1</v>
          </cell>
          <cell r="F14">
            <v>53.845924534662522</v>
          </cell>
          <cell r="G14">
            <v>0.99999999999999989</v>
          </cell>
        </row>
        <row r="15">
          <cell r="D15">
            <v>1</v>
          </cell>
          <cell r="F15">
            <v>57.002388476950593</v>
          </cell>
          <cell r="G15">
            <v>0.99999999999999989</v>
          </cell>
        </row>
        <row r="16">
          <cell r="D16">
            <v>1.125</v>
          </cell>
          <cell r="F16">
            <v>60.436171521656576</v>
          </cell>
          <cell r="G16">
            <v>1.1249999999999998</v>
          </cell>
        </row>
        <row r="17">
          <cell r="D17">
            <v>1.125</v>
          </cell>
          <cell r="F17">
            <v>63.989244810307795</v>
          </cell>
          <cell r="G17">
            <v>1.1249999999999998</v>
          </cell>
        </row>
        <row r="18">
          <cell r="D18">
            <v>1.125</v>
          </cell>
          <cell r="F18">
            <v>67.758095060044866</v>
          </cell>
          <cell r="G18">
            <v>1.1249999999999998</v>
          </cell>
        </row>
        <row r="19">
          <cell r="D19">
            <v>1.125</v>
          </cell>
          <cell r="F19">
            <v>71.742009480957734</v>
          </cell>
          <cell r="G19">
            <v>1.1249999999999998</v>
          </cell>
        </row>
        <row r="20">
          <cell r="D20">
            <v>1.125</v>
          </cell>
          <cell r="F20">
            <v>75.967615450095764</v>
          </cell>
          <cell r="G20">
            <v>1.1249999999999998</v>
          </cell>
        </row>
        <row r="21">
          <cell r="D21">
            <v>1.25</v>
          </cell>
          <cell r="F21">
            <v>80.509126536118401</v>
          </cell>
          <cell r="G21">
            <v>1.2499999999999998</v>
          </cell>
        </row>
        <row r="22">
          <cell r="D22">
            <v>1.25</v>
          </cell>
          <cell r="F22">
            <v>85.271443314731286</v>
          </cell>
          <cell r="G22">
            <v>1.2499999999999998</v>
          </cell>
        </row>
        <row r="23">
          <cell r="D23">
            <v>1.25</v>
          </cell>
          <cell r="F23">
            <v>90.291873606760845</v>
          </cell>
          <cell r="G23">
            <v>1.2499999999999998</v>
          </cell>
        </row>
        <row r="24">
          <cell r="D24">
            <v>1.25</v>
          </cell>
          <cell r="F24">
            <v>95.609260816315157</v>
          </cell>
          <cell r="G24">
            <v>1.2499999999999998</v>
          </cell>
        </row>
        <row r="25">
          <cell r="D25">
            <v>1.25</v>
          </cell>
          <cell r="F25">
            <v>101.24880128620286</v>
          </cell>
          <cell r="G25">
            <v>1.2499999999999998</v>
          </cell>
        </row>
        <row r="26">
          <cell r="D26">
            <v>1.25</v>
          </cell>
          <cell r="F26">
            <v>107.24184906932504</v>
          </cell>
          <cell r="G26">
            <v>1.2499999999999998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G2" sqref="G2"/>
    </sheetView>
  </sheetViews>
  <sheetFormatPr defaultColWidth="8.85546875" defaultRowHeight="15" x14ac:dyDescent="0.25"/>
  <cols>
    <col min="1" max="1" width="17" style="2" customWidth="1"/>
    <col min="2" max="2" width="8.42578125" style="1" bestFit="1" customWidth="1"/>
    <col min="3" max="3" width="5.7109375" style="1" customWidth="1"/>
    <col min="4" max="4" width="6.42578125" style="1" customWidth="1"/>
    <col min="5" max="5" width="7.42578125" style="1" bestFit="1" customWidth="1"/>
    <col min="6" max="6" width="6.42578125" style="1" bestFit="1" customWidth="1"/>
  </cols>
  <sheetData>
    <row r="1" spans="1:6" x14ac:dyDescent="0.25">
      <c r="A1" s="2" t="s">
        <v>30</v>
      </c>
    </row>
    <row r="2" spans="1:6" s="4" customFormat="1" ht="91.5" x14ac:dyDescent="0.25">
      <c r="A2" s="6"/>
      <c r="B2" s="5" t="s">
        <v>29</v>
      </c>
      <c r="C2" s="5" t="s">
        <v>28</v>
      </c>
      <c r="D2" s="5" t="s">
        <v>27</v>
      </c>
      <c r="E2" s="5" t="s">
        <v>26</v>
      </c>
      <c r="F2" s="5" t="s">
        <v>25</v>
      </c>
    </row>
    <row r="3" spans="1:6" x14ac:dyDescent="0.25">
      <c r="A3" s="2" t="s">
        <v>24</v>
      </c>
      <c r="B3" s="3">
        <f>90-[1]GlobalVariables!$D$2</f>
        <v>60</v>
      </c>
      <c r="C3" s="3">
        <f>[1]GlobalVariables!$B$1</f>
        <v>0.75</v>
      </c>
      <c r="D3" s="3">
        <f>'[1]Design Table'!$D2</f>
        <v>0.625</v>
      </c>
      <c r="E3" s="3">
        <f>'[1]Design Table'!$G2</f>
        <v>0.62499999999999989</v>
      </c>
      <c r="F3" s="3">
        <f>'[1]Design Table'!$F2</f>
        <v>26.995927028261821</v>
      </c>
    </row>
    <row r="4" spans="1:6" x14ac:dyDescent="0.25">
      <c r="A4" s="2" t="s">
        <v>23</v>
      </c>
      <c r="B4" s="3">
        <f>90-[1]GlobalVariables!$D$2</f>
        <v>60</v>
      </c>
      <c r="C4" s="3">
        <f>[1]GlobalVariables!$B$1</f>
        <v>0.75</v>
      </c>
      <c r="D4" s="3">
        <f>'[1]Design Table'!$D3</f>
        <v>0.625</v>
      </c>
      <c r="E4" s="3">
        <f>'[1]Design Table'!$G3</f>
        <v>0.62499999999999989</v>
      </c>
      <c r="F4" s="3">
        <f>'[1]Design Table'!$F3</f>
        <v>28.57847829081501</v>
      </c>
    </row>
    <row r="5" spans="1:6" x14ac:dyDescent="0.25">
      <c r="A5" s="2" t="s">
        <v>22</v>
      </c>
      <c r="B5" s="3">
        <f>90-[1]GlobalVariables!$D$2</f>
        <v>60</v>
      </c>
      <c r="C5" s="3">
        <f>[1]GlobalVariables!$B$1</f>
        <v>0.75</v>
      </c>
      <c r="D5" s="3">
        <f>'[1]Design Table'!$D4</f>
        <v>0.625</v>
      </c>
      <c r="E5" s="3">
        <f>'[1]Design Table'!$G4</f>
        <v>0.62499999999999989</v>
      </c>
      <c r="F5" s="3">
        <f>'[1]Design Table'!$F4</f>
        <v>30.229967974682179</v>
      </c>
    </row>
    <row r="6" spans="1:6" x14ac:dyDescent="0.25">
      <c r="A6" s="2" t="s">
        <v>21</v>
      </c>
      <c r="B6" s="3">
        <f>90-[1]GlobalVariables!$D$2</f>
        <v>60</v>
      </c>
      <c r="C6" s="3">
        <f>[1]GlobalVariables!$B$1</f>
        <v>0.75</v>
      </c>
      <c r="D6" s="3">
        <f>'[1]Design Table'!$D5</f>
        <v>0.625</v>
      </c>
      <c r="E6" s="3">
        <f>'[1]Design Table'!$G5</f>
        <v>0.62499999999999989</v>
      </c>
      <c r="F6" s="3">
        <f>'[1]Design Table'!$F5</f>
        <v>32.032122405153899</v>
      </c>
    </row>
    <row r="7" spans="1:6" x14ac:dyDescent="0.25">
      <c r="A7" s="2" t="s">
        <v>20</v>
      </c>
      <c r="B7" s="3">
        <f>90-[1]GlobalVariables!$D$2</f>
        <v>60</v>
      </c>
      <c r="C7" s="3">
        <f>[1]GlobalVariables!$B$1</f>
        <v>0.75</v>
      </c>
      <c r="D7" s="3">
        <f>'[1]Design Table'!$D6</f>
        <v>0.75</v>
      </c>
      <c r="E7" s="3">
        <f>'[1]Design Table'!$G6</f>
        <v>0.74999999999999989</v>
      </c>
      <c r="F7" s="3">
        <f>'[1]Design Table'!$F6</f>
        <v>33.991547530022437</v>
      </c>
    </row>
    <row r="8" spans="1:6" x14ac:dyDescent="0.25">
      <c r="A8" s="2" t="s">
        <v>19</v>
      </c>
      <c r="B8" s="3">
        <f>90-[1]GlobalVariables!$D$2</f>
        <v>60</v>
      </c>
      <c r="C8" s="3">
        <f>[1]GlobalVariables!$B$1</f>
        <v>0.75</v>
      </c>
      <c r="D8" s="3">
        <f>'[1]Design Table'!$D7</f>
        <v>0.75</v>
      </c>
      <c r="E8" s="3">
        <f>'[1]Design Table'!$G7</f>
        <v>0.74999999999999989</v>
      </c>
      <c r="F8" s="3">
        <f>'[1]Design Table'!$F7</f>
        <v>35.983504740478871</v>
      </c>
    </row>
    <row r="9" spans="1:6" x14ac:dyDescent="0.25">
      <c r="A9" s="2" t="s">
        <v>18</v>
      </c>
      <c r="B9" s="3">
        <f>90-[1]GlobalVariables!$D$2</f>
        <v>60</v>
      </c>
      <c r="C9" s="3">
        <f>[1]GlobalVariables!$B$1</f>
        <v>0.75</v>
      </c>
      <c r="D9" s="3">
        <f>'[1]Design Table'!$D8</f>
        <v>0.75</v>
      </c>
      <c r="E9" s="3">
        <f>'[1]Design Table'!$G8</f>
        <v>0.74999999999999989</v>
      </c>
      <c r="F9" s="3">
        <f>'[1]Design Table'!$F8</f>
        <v>38.096307725047886</v>
      </c>
    </row>
    <row r="10" spans="1:6" x14ac:dyDescent="0.25">
      <c r="A10" s="2" t="s">
        <v>17</v>
      </c>
      <c r="B10" s="3">
        <f>90-[1]GlobalVariables!$D$2</f>
        <v>60</v>
      </c>
      <c r="C10" s="3">
        <f>[1]GlobalVariables!$B$1</f>
        <v>0.75</v>
      </c>
      <c r="D10" s="3">
        <f>'[1]Design Table'!$D9</f>
        <v>0.75</v>
      </c>
      <c r="E10" s="3">
        <f>'[1]Design Table'!$G9</f>
        <v>0.74999999999999989</v>
      </c>
      <c r="F10" s="3">
        <f>'[1]Design Table'!$F9</f>
        <v>40.334130850611956</v>
      </c>
    </row>
    <row r="11" spans="1:6" x14ac:dyDescent="0.25">
      <c r="A11" s="2" t="s">
        <v>16</v>
      </c>
      <c r="B11" s="3">
        <f>90-[1]GlobalVariables!$D$2</f>
        <v>60</v>
      </c>
      <c r="C11" s="3">
        <f>[1]GlobalVariables!$B$1</f>
        <v>0.75</v>
      </c>
      <c r="D11" s="3">
        <f>'[1]Design Table'!$D10</f>
        <v>0.875</v>
      </c>
      <c r="E11" s="3">
        <f>'[1]Design Table'!$G10</f>
        <v>0.87499999999999989</v>
      </c>
      <c r="F11" s="3">
        <f>'[1]Design Table'!$F10</f>
        <v>42.780593551352133</v>
      </c>
    </row>
    <row r="12" spans="1:6" x14ac:dyDescent="0.25">
      <c r="A12" s="2" t="s">
        <v>15</v>
      </c>
      <c r="B12" s="3">
        <f>90-[1]GlobalVariables!$D$2</f>
        <v>60</v>
      </c>
      <c r="C12" s="3">
        <f>[1]GlobalVariables!$B$1</f>
        <v>0.75</v>
      </c>
      <c r="D12" s="3">
        <f>'[1]Design Table'!$D11</f>
        <v>0.875</v>
      </c>
      <c r="E12" s="3">
        <f>'[1]Design Table'!$G11</f>
        <v>0.87499999999999989</v>
      </c>
      <c r="F12" s="3">
        <f>'[1]Design Table'!$F11</f>
        <v>45.295936803380421</v>
      </c>
    </row>
    <row r="13" spans="1:6" x14ac:dyDescent="0.25">
      <c r="A13" s="2" t="s">
        <v>14</v>
      </c>
      <c r="B13" s="3">
        <f>90-[1]GlobalVariables!$D$2</f>
        <v>60</v>
      </c>
      <c r="C13" s="3">
        <f>[1]GlobalVariables!$B$1</f>
        <v>0.75</v>
      </c>
      <c r="D13" s="3">
        <f>'[1]Design Table'!$D12</f>
        <v>0.875</v>
      </c>
      <c r="E13" s="3">
        <f>'[1]Design Table'!$G12</f>
        <v>0.87499999999999989</v>
      </c>
      <c r="F13" s="3">
        <f>'[1]Design Table'!$F12</f>
        <v>47.954630408157577</v>
      </c>
    </row>
    <row r="14" spans="1:6" x14ac:dyDescent="0.25">
      <c r="A14" s="2" t="s">
        <v>13</v>
      </c>
      <c r="B14" s="3">
        <f>90-[1]GlobalVariables!$D$2</f>
        <v>60</v>
      </c>
      <c r="C14" s="3">
        <f>[1]GlobalVariables!$B$1</f>
        <v>0.75</v>
      </c>
      <c r="D14" s="3">
        <f>'[1]Design Table'!$D13</f>
        <v>1</v>
      </c>
      <c r="E14" s="3">
        <f>'[1]Design Table'!$G13</f>
        <v>0.99999999999999989</v>
      </c>
      <c r="F14" s="3">
        <f>'[1]Design Table'!$F13</f>
        <v>50.849400643101433</v>
      </c>
    </row>
    <row r="15" spans="1:6" x14ac:dyDescent="0.25">
      <c r="A15" s="2" t="s">
        <v>12</v>
      </c>
      <c r="B15" s="3">
        <f>90-[1]GlobalVariables!$D$2</f>
        <v>60</v>
      </c>
      <c r="C15" s="3">
        <f>[1]GlobalVariables!$B$1</f>
        <v>0.75</v>
      </c>
      <c r="D15" s="3">
        <f>'[1]Design Table'!$D14</f>
        <v>1</v>
      </c>
      <c r="E15" s="3">
        <f>'[1]Design Table'!$G14</f>
        <v>0.99999999999999989</v>
      </c>
      <c r="F15" s="3">
        <f>'[1]Design Table'!$F14</f>
        <v>53.845924534662522</v>
      </c>
    </row>
    <row r="16" spans="1:6" x14ac:dyDescent="0.25">
      <c r="A16" s="2" t="s">
        <v>11</v>
      </c>
      <c r="B16" s="3">
        <f>90-[1]GlobalVariables!$D$2</f>
        <v>60</v>
      </c>
      <c r="C16" s="3">
        <f>[1]GlobalVariables!$B$1</f>
        <v>0.75</v>
      </c>
      <c r="D16" s="3">
        <f>'[1]Design Table'!$D15</f>
        <v>1</v>
      </c>
      <c r="E16" s="3">
        <f>'[1]Design Table'!$G15</f>
        <v>0.99999999999999989</v>
      </c>
      <c r="F16" s="3">
        <f>'[1]Design Table'!$F15</f>
        <v>57.002388476950593</v>
      </c>
    </row>
    <row r="17" spans="1:6" x14ac:dyDescent="0.25">
      <c r="A17" s="2" t="s">
        <v>10</v>
      </c>
      <c r="B17" s="3">
        <f>90-[1]GlobalVariables!$D$2</f>
        <v>60</v>
      </c>
      <c r="C17" s="3">
        <f>[1]GlobalVariables!$B$1</f>
        <v>0.75</v>
      </c>
      <c r="D17" s="3">
        <f>'[1]Design Table'!$D16</f>
        <v>1.125</v>
      </c>
      <c r="E17" s="3">
        <f>'[1]Design Table'!$G16</f>
        <v>1.1249999999999998</v>
      </c>
      <c r="F17" s="3">
        <f>'[1]Design Table'!$F16</f>
        <v>60.436171521656576</v>
      </c>
    </row>
    <row r="18" spans="1:6" x14ac:dyDescent="0.25">
      <c r="A18" s="2" t="s">
        <v>9</v>
      </c>
      <c r="B18" s="3">
        <f>90-[1]GlobalVariables!$D$2</f>
        <v>60</v>
      </c>
      <c r="C18" s="3">
        <f>[1]GlobalVariables!$B$1</f>
        <v>0.75</v>
      </c>
      <c r="D18" s="3">
        <f>'[1]Design Table'!$D17</f>
        <v>1.125</v>
      </c>
      <c r="E18" s="3">
        <f>'[1]Design Table'!$G17</f>
        <v>1.1249999999999998</v>
      </c>
      <c r="F18" s="3">
        <f>'[1]Design Table'!$F17</f>
        <v>63.989244810307795</v>
      </c>
    </row>
    <row r="19" spans="1:6" x14ac:dyDescent="0.25">
      <c r="A19" s="2" t="s">
        <v>8</v>
      </c>
      <c r="B19" s="3">
        <f>90-[1]GlobalVariables!$D$2</f>
        <v>60</v>
      </c>
      <c r="C19" s="3">
        <f>[1]GlobalVariables!$B$1</f>
        <v>0.75</v>
      </c>
      <c r="D19" s="3">
        <f>'[1]Design Table'!$D18</f>
        <v>1.125</v>
      </c>
      <c r="E19" s="3">
        <f>'[1]Design Table'!$G18</f>
        <v>1.1249999999999998</v>
      </c>
      <c r="F19" s="3">
        <f>'[1]Design Table'!$F18</f>
        <v>67.758095060044866</v>
      </c>
    </row>
    <row r="20" spans="1:6" x14ac:dyDescent="0.25">
      <c r="A20" s="2" t="s">
        <v>7</v>
      </c>
      <c r="B20" s="3">
        <f>90-[1]GlobalVariables!$D$2</f>
        <v>60</v>
      </c>
      <c r="C20" s="3">
        <f>[1]GlobalVariables!$B$1</f>
        <v>0.75</v>
      </c>
      <c r="D20" s="3">
        <f>'[1]Design Table'!$D19</f>
        <v>1.125</v>
      </c>
      <c r="E20" s="3">
        <f>'[1]Design Table'!$G19</f>
        <v>1.1249999999999998</v>
      </c>
      <c r="F20" s="3">
        <f>'[1]Design Table'!$F19</f>
        <v>71.742009480957734</v>
      </c>
    </row>
    <row r="21" spans="1:6" x14ac:dyDescent="0.25">
      <c r="A21" s="2" t="s">
        <v>6</v>
      </c>
      <c r="B21" s="3">
        <f>90-[1]GlobalVariables!$D$2</f>
        <v>60</v>
      </c>
      <c r="C21" s="3">
        <f>[1]GlobalVariables!$B$1</f>
        <v>0.75</v>
      </c>
      <c r="D21" s="3">
        <f>'[1]Design Table'!$D20</f>
        <v>1.125</v>
      </c>
      <c r="E21" s="3">
        <f>'[1]Design Table'!$G20</f>
        <v>1.1249999999999998</v>
      </c>
      <c r="F21" s="3">
        <f>'[1]Design Table'!$F20</f>
        <v>75.967615450095764</v>
      </c>
    </row>
    <row r="22" spans="1:6" x14ac:dyDescent="0.25">
      <c r="A22" s="2" t="s">
        <v>5</v>
      </c>
      <c r="B22" s="3">
        <f>90-[1]GlobalVariables!$D$2</f>
        <v>60</v>
      </c>
      <c r="C22" s="3">
        <f>[1]GlobalVariables!$B$1</f>
        <v>0.75</v>
      </c>
      <c r="D22" s="3">
        <f>'[1]Design Table'!$D21</f>
        <v>1.25</v>
      </c>
      <c r="E22" s="3">
        <f>'[1]Design Table'!$G21</f>
        <v>1.2499999999999998</v>
      </c>
      <c r="F22" s="3">
        <f>'[1]Design Table'!$F21</f>
        <v>80.509126536118401</v>
      </c>
    </row>
    <row r="23" spans="1:6" x14ac:dyDescent="0.25">
      <c r="A23" s="2" t="s">
        <v>4</v>
      </c>
      <c r="B23" s="3">
        <f>90-[1]GlobalVariables!$D$2</f>
        <v>60</v>
      </c>
      <c r="C23" s="3">
        <f>[1]GlobalVariables!$B$1</f>
        <v>0.75</v>
      </c>
      <c r="D23" s="3">
        <f>'[1]Design Table'!$D22</f>
        <v>1.25</v>
      </c>
      <c r="E23" s="3">
        <f>'[1]Design Table'!$G22</f>
        <v>1.2499999999999998</v>
      </c>
      <c r="F23" s="3">
        <f>'[1]Design Table'!$F22</f>
        <v>85.271443314731286</v>
      </c>
    </row>
    <row r="24" spans="1:6" x14ac:dyDescent="0.25">
      <c r="A24" s="2" t="s">
        <v>3</v>
      </c>
      <c r="B24" s="3">
        <f>90-[1]GlobalVariables!$D$2</f>
        <v>60</v>
      </c>
      <c r="C24" s="3">
        <f>[1]GlobalVariables!$B$1</f>
        <v>0.75</v>
      </c>
      <c r="D24" s="3">
        <f>'[1]Design Table'!$D23</f>
        <v>1.25</v>
      </c>
      <c r="E24" s="3">
        <f>'[1]Design Table'!$G23</f>
        <v>1.2499999999999998</v>
      </c>
      <c r="F24" s="3">
        <f>'[1]Design Table'!$F23</f>
        <v>90.291873606760845</v>
      </c>
    </row>
    <row r="25" spans="1:6" x14ac:dyDescent="0.25">
      <c r="A25" s="2" t="s">
        <v>2</v>
      </c>
      <c r="B25" s="3">
        <f>90-[1]GlobalVariables!$D$2</f>
        <v>60</v>
      </c>
      <c r="C25" s="3">
        <f>[1]GlobalVariables!$B$1</f>
        <v>0.75</v>
      </c>
      <c r="D25" s="3">
        <f>'[1]Design Table'!$D24</f>
        <v>1.25</v>
      </c>
      <c r="E25" s="3">
        <f>'[1]Design Table'!$G24</f>
        <v>1.2499999999999998</v>
      </c>
      <c r="F25" s="3">
        <f>'[1]Design Table'!$F24</f>
        <v>95.609260816315157</v>
      </c>
    </row>
    <row r="26" spans="1:6" x14ac:dyDescent="0.25">
      <c r="A26" s="2" t="s">
        <v>1</v>
      </c>
      <c r="B26" s="3">
        <f>90-[1]GlobalVariables!$D$2</f>
        <v>60</v>
      </c>
      <c r="C26" s="3">
        <f>[1]GlobalVariables!$B$1</f>
        <v>0.75</v>
      </c>
      <c r="D26" s="3">
        <f>'[1]Design Table'!$D25</f>
        <v>1.25</v>
      </c>
      <c r="E26" s="3">
        <f>'[1]Design Table'!$G25</f>
        <v>1.2499999999999998</v>
      </c>
      <c r="F26" s="3">
        <f>'[1]Design Table'!$F25</f>
        <v>101.24880128620286</v>
      </c>
    </row>
    <row r="27" spans="1:6" x14ac:dyDescent="0.25">
      <c r="A27" s="2" t="s">
        <v>0</v>
      </c>
      <c r="B27" s="3">
        <f>90-[1]GlobalVariables!$D$2</f>
        <v>60</v>
      </c>
      <c r="C27" s="3">
        <f>[1]GlobalVariables!$B$1</f>
        <v>0.75</v>
      </c>
      <c r="D27" s="3">
        <f>'[1]Design Table'!$D26</f>
        <v>1.25</v>
      </c>
      <c r="E27" s="3">
        <f>'[1]Design Table'!$G26</f>
        <v>1.2499999999999998</v>
      </c>
      <c r="F27" s="3">
        <f>'[1]Design Table'!$F26</f>
        <v>107.24184906932504</v>
      </c>
    </row>
  </sheetData>
  <dataValidations count="125">
    <dataValidation showInputMessage="1" showErrorMessage="1" errorTitle="SolidWorks Error:" error="The value you have entered is invalid.  Please enter a valid value before continuing." promptTitle="Theta@Sketch1" prompt="Enter a valid value for this parameter." sqref="B3"/>
    <dataValidation showInputMessage="1" showErrorMessage="1" errorTitle="SolidWorks Error:" error="The value you have entered is invalid.  Please enter a valid value before continuing." promptTitle="Theta@Sketch1" prompt="Enter a valid value for this parameter." sqref="B4"/>
    <dataValidation showInputMessage="1" showErrorMessage="1" errorTitle="SolidWorks Error:" error="The value you have entered is invalid.  Please enter a valid value before continuing." promptTitle="Theta@Sketch1" prompt="Enter a valid value for this parameter." sqref="B5"/>
    <dataValidation showInputMessage="1" showErrorMessage="1" errorTitle="SolidWorks Error:" error="The value you have entered is invalid.  Please enter a valid value before continuing." promptTitle="Theta@Sketch1" prompt="Enter a valid value for this parameter." sqref="B6"/>
    <dataValidation showInputMessage="1" showErrorMessage="1" errorTitle="SolidWorks Error:" error="The value you have entered is invalid.  Please enter a valid value before continuing." promptTitle="Theta@Sketch1" prompt="Enter a valid value for this parameter." sqref="B7"/>
    <dataValidation showInputMessage="1" showErrorMessage="1" errorTitle="SolidWorks Error:" error="The value you have entered is invalid.  Please enter a valid value before continuing." promptTitle="Theta@Sketch1" prompt="Enter a valid value for this parameter." sqref="B8"/>
    <dataValidation showInputMessage="1" showErrorMessage="1" errorTitle="SolidWorks Error:" error="The value you have entered is invalid.  Please enter a valid value before continuing." promptTitle="Theta@Sketch1" prompt="Enter a valid value for this parameter." sqref="B9"/>
    <dataValidation showInputMessage="1" showErrorMessage="1" errorTitle="SolidWorks Error:" error="The value you have entered is invalid.  Please enter a valid value before continuing." promptTitle="Theta@Sketch1" prompt="Enter a valid value for this parameter." sqref="B10"/>
    <dataValidation showInputMessage="1" showErrorMessage="1" errorTitle="SolidWorks Error:" error="The value you have entered is invalid.  Please enter a valid value before continuing." promptTitle="Theta@Sketch1" prompt="Enter a valid value for this parameter." sqref="B11"/>
    <dataValidation showInputMessage="1" showErrorMessage="1" errorTitle="SolidWorks Error:" error="The value you have entered is invalid.  Please enter a valid value before continuing." promptTitle="Theta@Sketch1" prompt="Enter a valid value for this parameter." sqref="B12"/>
    <dataValidation showInputMessage="1" showErrorMessage="1" errorTitle="SolidWorks Error:" error="The value you have entered is invalid.  Please enter a valid value before continuing." promptTitle="Theta@Sketch1" prompt="Enter a valid value for this parameter." sqref="B13"/>
    <dataValidation showInputMessage="1" showErrorMessage="1" errorTitle="SolidWorks Error:" error="The value you have entered is invalid.  Please enter a valid value before continuing." promptTitle="Theta@Sketch1" prompt="Enter a valid value for this parameter." sqref="B14"/>
    <dataValidation showInputMessage="1" showErrorMessage="1" errorTitle="SolidWorks Error:" error="The value you have entered is invalid.  Please enter a valid value before continuing." promptTitle="Theta@Sketch1" prompt="Enter a valid value for this parameter." sqref="B15"/>
    <dataValidation showInputMessage="1" showErrorMessage="1" errorTitle="SolidWorks Error:" error="The value you have entered is invalid.  Please enter a valid value before continuing." promptTitle="Theta@Sketch1" prompt="Enter a valid value for this parameter." sqref="B16"/>
    <dataValidation showInputMessage="1" showErrorMessage="1" errorTitle="SolidWorks Error:" error="The value you have entered is invalid.  Please enter a valid value before continuing." promptTitle="Theta@Sketch1" prompt="Enter a valid value for this parameter." sqref="B17"/>
    <dataValidation showInputMessage="1" showErrorMessage="1" errorTitle="SolidWorks Error:" error="The value you have entered is invalid.  Please enter a valid value before continuing." promptTitle="Theta@Sketch1" prompt="Enter a valid value for this parameter." sqref="B18"/>
    <dataValidation showInputMessage="1" showErrorMessage="1" errorTitle="SolidWorks Error:" error="The value you have entered is invalid.  Please enter a valid value before continuing." promptTitle="Theta@Sketch1" prompt="Enter a valid value for this parameter." sqref="B19"/>
    <dataValidation showInputMessage="1" showErrorMessage="1" errorTitle="SolidWorks Error:" error="The value you have entered is invalid.  Please enter a valid value before continuing." promptTitle="Theta@Sketch1" prompt="Enter a valid value for this parameter." sqref="B20"/>
    <dataValidation showInputMessage="1" showErrorMessage="1" errorTitle="SolidWorks Error:" error="The value you have entered is invalid.  Please enter a valid value before continuing." promptTitle="Theta@Sketch1" prompt="Enter a valid value for this parameter." sqref="B21"/>
    <dataValidation showInputMessage="1" showErrorMessage="1" errorTitle="SolidWorks Error:" error="The value you have entered is invalid.  Please enter a valid value before continuing." promptTitle="Theta@Sketch1" prompt="Enter a valid value for this parameter." sqref="B22"/>
    <dataValidation showInputMessage="1" showErrorMessage="1" errorTitle="SolidWorks Error:" error="The value you have entered is invalid.  Please enter a valid value before continuing." promptTitle="Theta@Sketch1" prompt="Enter a valid value for this parameter." sqref="B23"/>
    <dataValidation showInputMessage="1" showErrorMessage="1" errorTitle="SolidWorks Error:" error="The value you have entered is invalid.  Please enter a valid value before continuing." promptTitle="Theta@Sketch1" prompt="Enter a valid value for this parameter." sqref="B24"/>
    <dataValidation showInputMessage="1" showErrorMessage="1" errorTitle="SolidWorks Error:" error="The value you have entered is invalid.  Please enter a valid value before continuing." promptTitle="Theta@Sketch1" prompt="Enter a valid value for this parameter." sqref="B25"/>
    <dataValidation showInputMessage="1" showErrorMessage="1" errorTitle="SolidWorks Error:" error="The value you have entered is invalid.  Please enter a valid value before continuing." promptTitle="Theta@Sketch1" prompt="Enter a valid value for this parameter." sqref="B26"/>
    <dataValidation showInputMessage="1" showErrorMessage="1" errorTitle="SolidWorks Error:" error="The value you have entered is invalid.  Please enter a valid value before continuing." promptTitle="Theta@Sketch1" prompt="Enter a valid value for this parameter." sqref="B27"/>
    <dataValidation showInputMessage="1" showErrorMessage="1" errorTitle="SolidWorks Error:" error="The value you have entered is invalid.  Please enter a valid value before continuing." promptTitle="t@Sketch1" prompt="Enter a valid value for this parameter." sqref="C3"/>
    <dataValidation showInputMessage="1" showErrorMessage="1" errorTitle="SolidWorks Error:" error="The value you have entered is invalid.  Please enter a valid value before continuing." promptTitle="t@Sketch1" prompt="Enter a valid value for this parameter." sqref="C4"/>
    <dataValidation showInputMessage="1" showErrorMessage="1" errorTitle="SolidWorks Error:" error="The value you have entered is invalid.  Please enter a valid value before continuing." promptTitle="t@Sketch1" prompt="Enter a valid value for this parameter." sqref="C5"/>
    <dataValidation showInputMessage="1" showErrorMessage="1" errorTitle="SolidWorks Error:" error="The value you have entered is invalid.  Please enter a valid value before continuing." promptTitle="t@Sketch1" prompt="Enter a valid value for this parameter." sqref="C6"/>
    <dataValidation showInputMessage="1" showErrorMessage="1" errorTitle="SolidWorks Error:" error="The value you have entered is invalid.  Please enter a valid value before continuing." promptTitle="t@Sketch1" prompt="Enter a valid value for this parameter." sqref="C7"/>
    <dataValidation showInputMessage="1" showErrorMessage="1" errorTitle="SolidWorks Error:" error="The value you have entered is invalid.  Please enter a valid value before continuing." promptTitle="t@Sketch1" prompt="Enter a valid value for this parameter." sqref="C8"/>
    <dataValidation showInputMessage="1" showErrorMessage="1" errorTitle="SolidWorks Error:" error="The value you have entered is invalid.  Please enter a valid value before continuing." promptTitle="t@Sketch1" prompt="Enter a valid value for this parameter." sqref="C9"/>
    <dataValidation showInputMessage="1" showErrorMessage="1" errorTitle="SolidWorks Error:" error="The value you have entered is invalid.  Please enter a valid value before continuing." promptTitle="t@Sketch1" prompt="Enter a valid value for this parameter." sqref="C10"/>
    <dataValidation showInputMessage="1" showErrorMessage="1" errorTitle="SolidWorks Error:" error="The value you have entered is invalid.  Please enter a valid value before continuing." promptTitle="t@Sketch1" prompt="Enter a valid value for this parameter." sqref="C11"/>
    <dataValidation showInputMessage="1" showErrorMessage="1" errorTitle="SolidWorks Error:" error="The value you have entered is invalid.  Please enter a valid value before continuing." promptTitle="t@Sketch1" prompt="Enter a valid value for this parameter." sqref="C12"/>
    <dataValidation showInputMessage="1" showErrorMessage="1" errorTitle="SolidWorks Error:" error="The value you have entered is invalid.  Please enter a valid value before continuing." promptTitle="t@Sketch1" prompt="Enter a valid value for this parameter." sqref="C13"/>
    <dataValidation showInputMessage="1" showErrorMessage="1" errorTitle="SolidWorks Error:" error="The value you have entered is invalid.  Please enter a valid value before continuing." promptTitle="t@Sketch1" prompt="Enter a valid value for this parameter." sqref="C14"/>
    <dataValidation showInputMessage="1" showErrorMessage="1" errorTitle="SolidWorks Error:" error="The value you have entered is invalid.  Please enter a valid value before continuing." promptTitle="t@Sketch1" prompt="Enter a valid value for this parameter." sqref="C15"/>
    <dataValidation showInputMessage="1" showErrorMessage="1" errorTitle="SolidWorks Error:" error="The value you have entered is invalid.  Please enter a valid value before continuing." promptTitle="t@Sketch1" prompt="Enter a valid value for this parameter." sqref="C16"/>
    <dataValidation showInputMessage="1" showErrorMessage="1" errorTitle="SolidWorks Error:" error="The value you have entered is invalid.  Please enter a valid value before continuing." promptTitle="t@Sketch1" prompt="Enter a valid value for this parameter." sqref="C17"/>
    <dataValidation showInputMessage="1" showErrorMessage="1" errorTitle="SolidWorks Error:" error="The value you have entered is invalid.  Please enter a valid value before continuing." promptTitle="t@Sketch1" prompt="Enter a valid value for this parameter." sqref="C18"/>
    <dataValidation showInputMessage="1" showErrorMessage="1" errorTitle="SolidWorks Error:" error="The value you have entered is invalid.  Please enter a valid value before continuing." promptTitle="t@Sketch1" prompt="Enter a valid value for this parameter." sqref="C19"/>
    <dataValidation showInputMessage="1" showErrorMessage="1" errorTitle="SolidWorks Error:" error="The value you have entered is invalid.  Please enter a valid value before continuing." promptTitle="t@Sketch1" prompt="Enter a valid value for this parameter." sqref="C20"/>
    <dataValidation showInputMessage="1" showErrorMessage="1" errorTitle="SolidWorks Error:" error="The value you have entered is invalid.  Please enter a valid value before continuing." promptTitle="t@Sketch1" prompt="Enter a valid value for this parameter." sqref="C21"/>
    <dataValidation showInputMessage="1" showErrorMessage="1" errorTitle="SolidWorks Error:" error="The value you have entered is invalid.  Please enter a valid value before continuing." promptTitle="t@Sketch1" prompt="Enter a valid value for this parameter." sqref="C22"/>
    <dataValidation showInputMessage="1" showErrorMessage="1" errorTitle="SolidWorks Error:" error="The value you have entered is invalid.  Please enter a valid value before continuing." promptTitle="t@Sketch1" prompt="Enter a valid value for this parameter." sqref="C23"/>
    <dataValidation showInputMessage="1" showErrorMessage="1" errorTitle="SolidWorks Error:" error="The value you have entered is invalid.  Please enter a valid value before continuing." promptTitle="t@Sketch1" prompt="Enter a valid value for this parameter." sqref="C24"/>
    <dataValidation showInputMessage="1" showErrorMessage="1" errorTitle="SolidWorks Error:" error="The value you have entered is invalid.  Please enter a valid value before continuing." promptTitle="t@Sketch1" prompt="Enter a valid value for this parameter." sqref="C25"/>
    <dataValidation showInputMessage="1" showErrorMessage="1" errorTitle="SolidWorks Error:" error="The value you have entered is invalid.  Please enter a valid value before continuing." promptTitle="t@Sketch1" prompt="Enter a valid value for this parameter." sqref="C26"/>
    <dataValidation showInputMessage="1" showErrorMessage="1" errorTitle="SolidWorks Error:" error="The value you have entered is invalid.  Please enter a valid value before continuing." promptTitle="t@Sketch1" prompt="Enter a valid value for this parameter." sqref="C27"/>
    <dataValidation showInputMessage="1" showErrorMessage="1" errorTitle="SolidWorks Error:" error="The value you have entered is invalid.  Please enter a valid value before continuing." promptTitle="R@Sketch1" prompt="Enter a valid value for this parameter." sqref="D3"/>
    <dataValidation showInputMessage="1" showErrorMessage="1" errorTitle="SolidWorks Error:" error="The value you have entered is invalid.  Please enter a valid value before continuing." promptTitle="R@Sketch1" prompt="Enter a valid value for this parameter." sqref="D4"/>
    <dataValidation showInputMessage="1" showErrorMessage="1" errorTitle="SolidWorks Error:" error="The value you have entered is invalid.  Please enter a valid value before continuing." promptTitle="R@Sketch1" prompt="Enter a valid value for this parameter." sqref="D5"/>
    <dataValidation showInputMessage="1" showErrorMessage="1" errorTitle="SolidWorks Error:" error="The value you have entered is invalid.  Please enter a valid value before continuing." promptTitle="R@Sketch1" prompt="Enter a valid value for this parameter." sqref="D6"/>
    <dataValidation showInputMessage="1" showErrorMessage="1" errorTitle="SolidWorks Error:" error="The value you have entered is invalid.  Please enter a valid value before continuing." promptTitle="R@Sketch1" prompt="Enter a valid value for this parameter." sqref="D7"/>
    <dataValidation showInputMessage="1" showErrorMessage="1" errorTitle="SolidWorks Error:" error="The value you have entered is invalid.  Please enter a valid value before continuing." promptTitle="R@Sketch1" prompt="Enter a valid value for this parameter." sqref="D8"/>
    <dataValidation showInputMessage="1" showErrorMessage="1" errorTitle="SolidWorks Error:" error="The value you have entered is invalid.  Please enter a valid value before continuing." promptTitle="R@Sketch1" prompt="Enter a valid value for this parameter." sqref="D9"/>
    <dataValidation showInputMessage="1" showErrorMessage="1" errorTitle="SolidWorks Error:" error="The value you have entered is invalid.  Please enter a valid value before continuing." promptTitle="R@Sketch1" prompt="Enter a valid value for this parameter." sqref="D10"/>
    <dataValidation showInputMessage="1" showErrorMessage="1" errorTitle="SolidWorks Error:" error="The value you have entered is invalid.  Please enter a valid value before continuing." promptTitle="R@Sketch1" prompt="Enter a valid value for this parameter." sqref="D11"/>
    <dataValidation showInputMessage="1" showErrorMessage="1" errorTitle="SolidWorks Error:" error="The value you have entered is invalid.  Please enter a valid value before continuing." promptTitle="R@Sketch1" prompt="Enter a valid value for this parameter." sqref="D12"/>
    <dataValidation showInputMessage="1" showErrorMessage="1" errorTitle="SolidWorks Error:" error="The value you have entered is invalid.  Please enter a valid value before continuing." promptTitle="R@Sketch1" prompt="Enter a valid value for this parameter." sqref="D13"/>
    <dataValidation showInputMessage="1" showErrorMessage="1" errorTitle="SolidWorks Error:" error="The value you have entered is invalid.  Please enter a valid value before continuing." promptTitle="R@Sketch1" prompt="Enter a valid value for this parameter." sqref="D14"/>
    <dataValidation showInputMessage="1" showErrorMessage="1" errorTitle="SolidWorks Error:" error="The value you have entered is invalid.  Please enter a valid value before continuing." promptTitle="R@Sketch1" prompt="Enter a valid value for this parameter." sqref="D15"/>
    <dataValidation showInputMessage="1" showErrorMessage="1" errorTitle="SolidWorks Error:" error="The value you have entered is invalid.  Please enter a valid value before continuing." promptTitle="R@Sketch1" prompt="Enter a valid value for this parameter." sqref="D16"/>
    <dataValidation showInputMessage="1" showErrorMessage="1" errorTitle="SolidWorks Error:" error="The value you have entered is invalid.  Please enter a valid value before continuing." promptTitle="R@Sketch1" prompt="Enter a valid value for this parameter." sqref="D17"/>
    <dataValidation showInputMessage="1" showErrorMessage="1" errorTitle="SolidWorks Error:" error="The value you have entered is invalid.  Please enter a valid value before continuing." promptTitle="R@Sketch1" prompt="Enter a valid value for this parameter." sqref="D18"/>
    <dataValidation showInputMessage="1" showErrorMessage="1" errorTitle="SolidWorks Error:" error="The value you have entered is invalid.  Please enter a valid value before continuing." promptTitle="R@Sketch1" prompt="Enter a valid value for this parameter." sqref="D19"/>
    <dataValidation showInputMessage="1" showErrorMessage="1" errorTitle="SolidWorks Error:" error="The value you have entered is invalid.  Please enter a valid value before continuing." promptTitle="R@Sketch1" prompt="Enter a valid value for this parameter." sqref="D20"/>
    <dataValidation showInputMessage="1" showErrorMessage="1" errorTitle="SolidWorks Error:" error="The value you have entered is invalid.  Please enter a valid value before continuing." promptTitle="R@Sketch1" prompt="Enter a valid value for this parameter." sqref="D21"/>
    <dataValidation showInputMessage="1" showErrorMessage="1" errorTitle="SolidWorks Error:" error="The value you have entered is invalid.  Please enter a valid value before continuing." promptTitle="R@Sketch1" prompt="Enter a valid value for this parameter." sqref="D22"/>
    <dataValidation showInputMessage="1" showErrorMessage="1" errorTitle="SolidWorks Error:" error="The value you have entered is invalid.  Please enter a valid value before continuing." promptTitle="R@Sketch1" prompt="Enter a valid value for this parameter." sqref="D23"/>
    <dataValidation showInputMessage="1" showErrorMessage="1" errorTitle="SolidWorks Error:" error="The value you have entered is invalid.  Please enter a valid value before continuing." promptTitle="R@Sketch1" prompt="Enter a valid value for this parameter." sqref="D24"/>
    <dataValidation showInputMessage="1" showErrorMessage="1" errorTitle="SolidWorks Error:" error="The value you have entered is invalid.  Please enter a valid value before continuing." promptTitle="R@Sketch1" prompt="Enter a valid value for this parameter." sqref="D25"/>
    <dataValidation showInputMessage="1" showErrorMessage="1" errorTitle="SolidWorks Error:" error="The value you have entered is invalid.  Please enter a valid value before continuing." promptTitle="R@Sketch1" prompt="Enter a valid value for this parameter." sqref="D26"/>
    <dataValidation showInputMessage="1" showErrorMessage="1" errorTitle="SolidWorks Error:" error="The value you have entered is invalid.  Please enter a valid value before continuing." promptTitle="R@Sketch1" prompt="Enter a valid value for this parameter." sqref="D27"/>
    <dataValidation showInputMessage="1" showErrorMessage="1" errorTitle="SolidWorks Error:" error="The value you have entered is invalid.  Please enter a valid value before continuing." promptTitle="ISWA@Sketch1" prompt="Enter a valid value for this parameter." sqref="E3"/>
    <dataValidation showInputMessage="1" showErrorMessage="1" errorTitle="SolidWorks Error:" error="The value you have entered is invalid.  Please enter a valid value before continuing." promptTitle="ISWA@Sketch1" prompt="Enter a valid value for this parameter." sqref="E4"/>
    <dataValidation showInputMessage="1" showErrorMessage="1" errorTitle="SolidWorks Error:" error="The value you have entered is invalid.  Please enter a valid value before continuing." promptTitle="ISWA@Sketch1" prompt="Enter a valid value for this parameter." sqref="E5"/>
    <dataValidation showInputMessage="1" showErrorMessage="1" errorTitle="SolidWorks Error:" error="The value you have entered is invalid.  Please enter a valid value before continuing." promptTitle="ISWA@Sketch1" prompt="Enter a valid value for this parameter." sqref="E6"/>
    <dataValidation showInputMessage="1" showErrorMessage="1" errorTitle="SolidWorks Error:" error="The value you have entered is invalid.  Please enter a valid value before continuing." promptTitle="ISWA@Sketch1" prompt="Enter a valid value for this parameter." sqref="E7"/>
    <dataValidation showInputMessage="1" showErrorMessage="1" errorTitle="SolidWorks Error:" error="The value you have entered is invalid.  Please enter a valid value before continuing." promptTitle="ISWA@Sketch1" prompt="Enter a valid value for this parameter." sqref="E8"/>
    <dataValidation showInputMessage="1" showErrorMessage="1" errorTitle="SolidWorks Error:" error="The value you have entered is invalid.  Please enter a valid value before continuing." promptTitle="ISWA@Sketch1" prompt="Enter a valid value for this parameter." sqref="E9"/>
    <dataValidation showInputMessage="1" showErrorMessage="1" errorTitle="SolidWorks Error:" error="The value you have entered is invalid.  Please enter a valid value before continuing." promptTitle="ISWA@Sketch1" prompt="Enter a valid value for this parameter." sqref="E10"/>
    <dataValidation showInputMessage="1" showErrorMessage="1" errorTitle="SolidWorks Error:" error="The value you have entered is invalid.  Please enter a valid value before continuing." promptTitle="ISWA@Sketch1" prompt="Enter a valid value for this parameter." sqref="E11"/>
    <dataValidation showInputMessage="1" showErrorMessage="1" errorTitle="SolidWorks Error:" error="The value you have entered is invalid.  Please enter a valid value before continuing." promptTitle="ISWA@Sketch1" prompt="Enter a valid value for this parameter." sqref="E12"/>
    <dataValidation showInputMessage="1" showErrorMessage="1" errorTitle="SolidWorks Error:" error="The value you have entered is invalid.  Please enter a valid value before continuing." promptTitle="ISWA@Sketch1" prompt="Enter a valid value for this parameter." sqref="E13"/>
    <dataValidation showInputMessage="1" showErrorMessage="1" errorTitle="SolidWorks Error:" error="The value you have entered is invalid.  Please enter a valid value before continuing." promptTitle="ISWA@Sketch1" prompt="Enter a valid value for this parameter." sqref="E14"/>
    <dataValidation showInputMessage="1" showErrorMessage="1" errorTitle="SolidWorks Error:" error="The value you have entered is invalid.  Please enter a valid value before continuing." promptTitle="ISWA@Sketch1" prompt="Enter a valid value for this parameter." sqref="E15"/>
    <dataValidation showInputMessage="1" showErrorMessage="1" errorTitle="SolidWorks Error:" error="The value you have entered is invalid.  Please enter a valid value before continuing." promptTitle="ISWA@Sketch1" prompt="Enter a valid value for this parameter." sqref="E16"/>
    <dataValidation showInputMessage="1" showErrorMessage="1" errorTitle="SolidWorks Error:" error="The value you have entered is invalid.  Please enter a valid value before continuing." promptTitle="ISWA@Sketch1" prompt="Enter a valid value for this parameter." sqref="E17"/>
    <dataValidation showInputMessage="1" showErrorMessage="1" errorTitle="SolidWorks Error:" error="The value you have entered is invalid.  Please enter a valid value before continuing." promptTitle="ISWA@Sketch1" prompt="Enter a valid value for this parameter." sqref="E18"/>
    <dataValidation showInputMessage="1" showErrorMessage="1" errorTitle="SolidWorks Error:" error="The value you have entered is invalid.  Please enter a valid value before continuing." promptTitle="ISWA@Sketch1" prompt="Enter a valid value for this parameter." sqref="E19"/>
    <dataValidation showInputMessage="1" showErrorMessage="1" errorTitle="SolidWorks Error:" error="The value you have entered is invalid.  Please enter a valid value before continuing." promptTitle="ISWA@Sketch1" prompt="Enter a valid value for this parameter." sqref="E20"/>
    <dataValidation showInputMessage="1" showErrorMessage="1" errorTitle="SolidWorks Error:" error="The value you have entered is invalid.  Please enter a valid value before continuing." promptTitle="ISWA@Sketch1" prompt="Enter a valid value for this parameter." sqref="E21"/>
    <dataValidation showInputMessage="1" showErrorMessage="1" errorTitle="SolidWorks Error:" error="The value you have entered is invalid.  Please enter a valid value before continuing." promptTitle="ISWA@Sketch1" prompt="Enter a valid value for this parameter." sqref="E22"/>
    <dataValidation showInputMessage="1" showErrorMessage="1" errorTitle="SolidWorks Error:" error="The value you have entered is invalid.  Please enter a valid value before continuing." promptTitle="ISWA@Sketch1" prompt="Enter a valid value for this parameter." sqref="E23"/>
    <dataValidation showInputMessage="1" showErrorMessage="1" errorTitle="SolidWorks Error:" error="The value you have entered is invalid.  Please enter a valid value before continuing." promptTitle="ISWA@Sketch1" prompt="Enter a valid value for this parameter." sqref="E24"/>
    <dataValidation showInputMessage="1" showErrorMessage="1" errorTitle="SolidWorks Error:" error="The value you have entered is invalid.  Please enter a valid value before continuing." promptTitle="ISWA@Sketch1" prompt="Enter a valid value for this parameter." sqref="E25"/>
    <dataValidation showInputMessage="1" showErrorMessage="1" errorTitle="SolidWorks Error:" error="The value you have entered is invalid.  Please enter a valid value before continuing." promptTitle="ISWA@Sketch1" prompt="Enter a valid value for this parameter." sqref="E26"/>
    <dataValidation showInputMessage="1" showErrorMessage="1" errorTitle="SolidWorks Error:" error="The value you have entered is invalid.  Please enter a valid value before continuing." promptTitle="ISWA@Sketch1" prompt="Enter a valid value for this parameter." sqref="E27"/>
    <dataValidation showInputMessage="1" showErrorMessage="1" errorTitle="SolidWorks Error:" error="The value you have entered is invalid.  Please enter a valid value before continuing." promptTitle="D1@Cut To Length" prompt="Enter a valid value for this parameter." sqref="F3"/>
    <dataValidation showInputMessage="1" showErrorMessage="1" errorTitle="SolidWorks Error:" error="The value you have entered is invalid.  Please enter a valid value before continuing." promptTitle="D1@Cut To Length" prompt="Enter a valid value for this parameter." sqref="F4"/>
    <dataValidation showInputMessage="1" showErrorMessage="1" errorTitle="SolidWorks Error:" error="The value you have entered is invalid.  Please enter a valid value before continuing." promptTitle="D1@Cut To Length" prompt="Enter a valid value for this parameter." sqref="F5"/>
    <dataValidation showInputMessage="1" showErrorMessage="1" errorTitle="SolidWorks Error:" error="The value you have entered is invalid.  Please enter a valid value before continuing." promptTitle="D1@Cut To Length" prompt="Enter a valid value for this parameter." sqref="F6"/>
    <dataValidation showInputMessage="1" showErrorMessage="1" errorTitle="SolidWorks Error:" error="The value you have entered is invalid.  Please enter a valid value before continuing." promptTitle="D1@Cut To Length" prompt="Enter a valid value for this parameter." sqref="F7"/>
    <dataValidation showInputMessage="1" showErrorMessage="1" errorTitle="SolidWorks Error:" error="The value you have entered is invalid.  Please enter a valid value before continuing." promptTitle="D1@Cut To Length" prompt="Enter a valid value for this parameter." sqref="F8"/>
    <dataValidation showInputMessage="1" showErrorMessage="1" errorTitle="SolidWorks Error:" error="The value you have entered is invalid.  Please enter a valid value before continuing." promptTitle="D1@Cut To Length" prompt="Enter a valid value for this parameter." sqref="F9"/>
    <dataValidation showInputMessage="1" showErrorMessage="1" errorTitle="SolidWorks Error:" error="The value you have entered is invalid.  Please enter a valid value before continuing." promptTitle="D1@Cut To Length" prompt="Enter a valid value for this parameter." sqref="F10"/>
    <dataValidation showInputMessage="1" showErrorMessage="1" errorTitle="SolidWorks Error:" error="The value you have entered is invalid.  Please enter a valid value before continuing." promptTitle="D1@Cut To Length" prompt="Enter a valid value for this parameter." sqref="F11"/>
    <dataValidation showInputMessage="1" showErrorMessage="1" errorTitle="SolidWorks Error:" error="The value you have entered is invalid.  Please enter a valid value before continuing." promptTitle="D1@Cut To Length" prompt="Enter a valid value for this parameter." sqref="F12"/>
    <dataValidation showInputMessage="1" showErrorMessage="1" errorTitle="SolidWorks Error:" error="The value you have entered is invalid.  Please enter a valid value before continuing." promptTitle="D1@Cut To Length" prompt="Enter a valid value for this parameter." sqref="F13"/>
    <dataValidation showInputMessage="1" showErrorMessage="1" errorTitle="SolidWorks Error:" error="The value you have entered is invalid.  Please enter a valid value before continuing." promptTitle="D1@Cut To Length" prompt="Enter a valid value for this parameter." sqref="F14"/>
    <dataValidation showInputMessage="1" showErrorMessage="1" errorTitle="SolidWorks Error:" error="The value you have entered is invalid.  Please enter a valid value before continuing." promptTitle="D1@Cut To Length" prompt="Enter a valid value for this parameter." sqref="F15"/>
    <dataValidation showInputMessage="1" showErrorMessage="1" errorTitle="SolidWorks Error:" error="The value you have entered is invalid.  Please enter a valid value before continuing." promptTitle="D1@Cut To Length" prompt="Enter a valid value for this parameter." sqref="F16"/>
    <dataValidation showInputMessage="1" showErrorMessage="1" errorTitle="SolidWorks Error:" error="The value you have entered is invalid.  Please enter a valid value before continuing." promptTitle="D1@Cut To Length" prompt="Enter a valid value for this parameter." sqref="F17"/>
    <dataValidation showInputMessage="1" showErrorMessage="1" errorTitle="SolidWorks Error:" error="The value you have entered is invalid.  Please enter a valid value before continuing." promptTitle="D1@Cut To Length" prompt="Enter a valid value for this parameter." sqref="F18"/>
    <dataValidation showInputMessage="1" showErrorMessage="1" errorTitle="SolidWorks Error:" error="The value you have entered is invalid.  Please enter a valid value before continuing." promptTitle="D1@Cut To Length" prompt="Enter a valid value for this parameter." sqref="F19"/>
    <dataValidation showInputMessage="1" showErrorMessage="1" errorTitle="SolidWorks Error:" error="The value you have entered is invalid.  Please enter a valid value before continuing." promptTitle="D1@Cut To Length" prompt="Enter a valid value for this parameter." sqref="F20"/>
    <dataValidation showInputMessage="1" showErrorMessage="1" errorTitle="SolidWorks Error:" error="The value you have entered is invalid.  Please enter a valid value before continuing." promptTitle="D1@Cut To Length" prompt="Enter a valid value for this parameter." sqref="F21"/>
    <dataValidation showInputMessage="1" showErrorMessage="1" errorTitle="SolidWorks Error:" error="The value you have entered is invalid.  Please enter a valid value before continuing." promptTitle="D1@Cut To Length" prompt="Enter a valid value for this parameter." sqref="F22"/>
    <dataValidation showInputMessage="1" showErrorMessage="1" errorTitle="SolidWorks Error:" error="The value you have entered is invalid.  Please enter a valid value before continuing." promptTitle="D1@Cut To Length" prompt="Enter a valid value for this parameter." sqref="F23"/>
    <dataValidation showInputMessage="1" showErrorMessage="1" errorTitle="SolidWorks Error:" error="The value you have entered is invalid.  Please enter a valid value before continuing." promptTitle="D1@Cut To Length" prompt="Enter a valid value for this parameter." sqref="F24"/>
    <dataValidation showInputMessage="1" showErrorMessage="1" errorTitle="SolidWorks Error:" error="The value you have entered is invalid.  Please enter a valid value before continuing." promptTitle="D1@Cut To Length" prompt="Enter a valid value for this parameter." sqref="F25"/>
    <dataValidation showInputMessage="1" showErrorMessage="1" errorTitle="SolidWorks Error:" error="The value you have entered is invalid.  Please enter a valid value before continuing." promptTitle="D1@Cut To Length" prompt="Enter a valid value for this parameter." sqref="F26"/>
    <dataValidation showInputMessage="1" showErrorMessage="1" errorTitle="SolidWorks Error:" error="The value you have entered is invalid.  Please enter a valid value before continuing." promptTitle="D1@Cut To Length" prompt="Enter a valid value for this parameter." sqref="F27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2013-05-26T17:14:47Z</dcterms:created>
  <dcterms:modified xsi:type="dcterms:W3CDTF">2014-03-02T20:20:53Z</dcterms:modified>
</cp:coreProperties>
</file>