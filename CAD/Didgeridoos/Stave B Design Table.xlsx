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ny\Documents\CAD\Wood Stave Instruments\Didgeridoos\"/>
    </mc:Choice>
  </mc:AlternateContent>
  <bookViews>
    <workbookView xWindow="75" yWindow="975" windowWidth="8790" windowHeight="11580"/>
  </bookViews>
  <sheets>
    <sheet name="Sheet1" sheetId="1" r:id="rId1"/>
  </sheets>
  <externalReferences>
    <externalReference r:id="rId2"/>
  </externalReferences>
  <definedNames>
    <definedName name="Family">Sheet1!$A$2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1" l="1"/>
  <c r="H28" i="1"/>
  <c r="G28" i="1"/>
  <c r="F28" i="1"/>
  <c r="E28" i="1"/>
  <c r="D28" i="1"/>
  <c r="B28" i="1"/>
  <c r="C28" i="1" s="1"/>
  <c r="I27" i="1"/>
  <c r="H27" i="1"/>
  <c r="G27" i="1"/>
  <c r="F27" i="1"/>
  <c r="E27" i="1"/>
  <c r="D27" i="1"/>
  <c r="B27" i="1"/>
  <c r="C27" i="1" s="1"/>
  <c r="I26" i="1"/>
  <c r="H26" i="1"/>
  <c r="G26" i="1"/>
  <c r="F26" i="1"/>
  <c r="E26" i="1"/>
  <c r="D26" i="1"/>
  <c r="B26" i="1"/>
  <c r="C26" i="1" s="1"/>
  <c r="I25" i="1"/>
  <c r="H25" i="1"/>
  <c r="G25" i="1"/>
  <c r="F25" i="1"/>
  <c r="E25" i="1"/>
  <c r="D25" i="1"/>
  <c r="B25" i="1"/>
  <c r="C25" i="1" s="1"/>
  <c r="I24" i="1"/>
  <c r="H24" i="1"/>
  <c r="G24" i="1"/>
  <c r="F24" i="1"/>
  <c r="E24" i="1"/>
  <c r="D24" i="1"/>
  <c r="B24" i="1"/>
  <c r="C24" i="1" s="1"/>
  <c r="I23" i="1"/>
  <c r="H23" i="1"/>
  <c r="G23" i="1"/>
  <c r="F23" i="1"/>
  <c r="E23" i="1"/>
  <c r="D23" i="1"/>
  <c r="B23" i="1"/>
  <c r="C23" i="1" s="1"/>
  <c r="I22" i="1"/>
  <c r="H22" i="1"/>
  <c r="G22" i="1"/>
  <c r="F22" i="1"/>
  <c r="E22" i="1"/>
  <c r="D22" i="1"/>
  <c r="B22" i="1"/>
  <c r="C22" i="1" s="1"/>
  <c r="I21" i="1"/>
  <c r="H21" i="1"/>
  <c r="G21" i="1"/>
  <c r="F21" i="1"/>
  <c r="E21" i="1"/>
  <c r="D21" i="1"/>
  <c r="B21" i="1"/>
  <c r="C21" i="1" s="1"/>
  <c r="I20" i="1"/>
  <c r="H20" i="1"/>
  <c r="G20" i="1"/>
  <c r="F20" i="1"/>
  <c r="E20" i="1"/>
  <c r="D20" i="1"/>
  <c r="B20" i="1"/>
  <c r="C20" i="1" s="1"/>
  <c r="I19" i="1"/>
  <c r="H19" i="1"/>
  <c r="G19" i="1"/>
  <c r="F19" i="1"/>
  <c r="E19" i="1"/>
  <c r="D19" i="1"/>
  <c r="B19" i="1"/>
  <c r="C19" i="1" s="1"/>
  <c r="I18" i="1"/>
  <c r="H18" i="1"/>
  <c r="G18" i="1"/>
  <c r="F18" i="1"/>
  <c r="E18" i="1"/>
  <c r="D18" i="1"/>
  <c r="B18" i="1"/>
  <c r="C18" i="1" s="1"/>
  <c r="I17" i="1"/>
  <c r="H17" i="1"/>
  <c r="G17" i="1"/>
  <c r="F17" i="1"/>
  <c r="E17" i="1"/>
  <c r="D17" i="1"/>
  <c r="B17" i="1"/>
  <c r="C17" i="1" s="1"/>
  <c r="I16" i="1"/>
  <c r="H16" i="1"/>
  <c r="G16" i="1"/>
  <c r="F16" i="1"/>
  <c r="E16" i="1"/>
  <c r="D16" i="1"/>
  <c r="B16" i="1"/>
  <c r="C16" i="1" s="1"/>
  <c r="I15" i="1"/>
  <c r="H15" i="1"/>
  <c r="G15" i="1"/>
  <c r="F15" i="1"/>
  <c r="E15" i="1"/>
  <c r="D15" i="1"/>
  <c r="B15" i="1"/>
  <c r="C15" i="1" s="1"/>
  <c r="I14" i="1"/>
  <c r="H14" i="1"/>
  <c r="G14" i="1"/>
  <c r="F14" i="1"/>
  <c r="E14" i="1"/>
  <c r="D14" i="1"/>
  <c r="B14" i="1"/>
  <c r="C14" i="1" s="1"/>
  <c r="I13" i="1"/>
  <c r="H13" i="1"/>
  <c r="G13" i="1"/>
  <c r="F13" i="1"/>
  <c r="E13" i="1"/>
  <c r="D13" i="1"/>
  <c r="B13" i="1"/>
  <c r="C13" i="1" s="1"/>
  <c r="I12" i="1"/>
  <c r="H12" i="1"/>
  <c r="G12" i="1"/>
  <c r="F12" i="1"/>
  <c r="E12" i="1"/>
  <c r="D12" i="1"/>
  <c r="B12" i="1"/>
  <c r="C12" i="1" s="1"/>
  <c r="I11" i="1"/>
  <c r="H11" i="1"/>
  <c r="G11" i="1"/>
  <c r="F11" i="1"/>
  <c r="E11" i="1"/>
  <c r="D11" i="1"/>
  <c r="B11" i="1"/>
  <c r="C11" i="1" s="1"/>
  <c r="I10" i="1"/>
  <c r="H10" i="1"/>
  <c r="G10" i="1"/>
  <c r="F10" i="1"/>
  <c r="E10" i="1"/>
  <c r="D10" i="1"/>
  <c r="B10" i="1"/>
  <c r="C10" i="1" s="1"/>
  <c r="I9" i="1"/>
  <c r="H9" i="1"/>
  <c r="G9" i="1"/>
  <c r="F9" i="1"/>
  <c r="E9" i="1"/>
  <c r="D9" i="1"/>
  <c r="B9" i="1"/>
  <c r="C9" i="1" s="1"/>
  <c r="I8" i="1"/>
  <c r="H8" i="1"/>
  <c r="G8" i="1"/>
  <c r="F8" i="1"/>
  <c r="E8" i="1"/>
  <c r="D8" i="1"/>
  <c r="B8" i="1"/>
  <c r="C8" i="1" s="1"/>
  <c r="I7" i="1"/>
  <c r="H7" i="1"/>
  <c r="G7" i="1"/>
  <c r="F7" i="1"/>
  <c r="E7" i="1"/>
  <c r="D7" i="1"/>
  <c r="B7" i="1"/>
  <c r="C7" i="1" s="1"/>
  <c r="I6" i="1"/>
  <c r="H6" i="1"/>
  <c r="G6" i="1"/>
  <c r="F6" i="1"/>
  <c r="E6" i="1"/>
  <c r="D6" i="1"/>
  <c r="B6" i="1"/>
  <c r="C6" i="1" s="1"/>
  <c r="I5" i="1"/>
  <c r="H5" i="1"/>
  <c r="G5" i="1"/>
  <c r="F5" i="1"/>
  <c r="E5" i="1"/>
  <c r="D5" i="1"/>
  <c r="B5" i="1"/>
  <c r="C5" i="1" s="1"/>
  <c r="I4" i="1"/>
  <c r="H4" i="1"/>
  <c r="G4" i="1"/>
  <c r="F4" i="1"/>
  <c r="E4" i="1"/>
  <c r="D4" i="1"/>
  <c r="B4" i="1"/>
  <c r="C4" i="1" s="1"/>
</calcChain>
</file>

<file path=xl/sharedStrings.xml><?xml version="1.0" encoding="utf-8"?>
<sst xmlns="http://schemas.openxmlformats.org/spreadsheetml/2006/main" count="35" uniqueCount="35">
  <si>
    <t>Design Table for: Stave B Temp 2</t>
  </si>
  <si>
    <t>Default</t>
  </si>
  <si>
    <t>Crosscut Angle@Sketch1</t>
  </si>
  <si>
    <t>Crosscut Angle 2@Sketch1</t>
  </si>
  <si>
    <t>BISW@Sketch1</t>
  </si>
  <si>
    <t>Cut To Length@Sketch1</t>
  </si>
  <si>
    <t>D1@Boss-Extrude1</t>
  </si>
  <si>
    <t>Dado Depth@Sketch3</t>
  </si>
  <si>
    <t>Degree of Flare (plus ninety)@Sketch3</t>
  </si>
  <si>
    <t>D3@Boss-Extrude1</t>
  </si>
  <si>
    <t>01. Stave B - C3</t>
  </si>
  <si>
    <t>02. Stave B - B2</t>
  </si>
  <si>
    <t>03. Stave B - A2#</t>
  </si>
  <si>
    <t>04. Stave B - A2</t>
  </si>
  <si>
    <t>05. Stave B - G2#</t>
  </si>
  <si>
    <t>06. Stave B - G2</t>
  </si>
  <si>
    <t>07. Stave B - F2#</t>
  </si>
  <si>
    <t>08. Stave B - F2</t>
  </si>
  <si>
    <t>09. Stave B - E2</t>
  </si>
  <si>
    <t>10. Stave B - D2#</t>
  </si>
  <si>
    <t>11. Stave B - D2</t>
  </si>
  <si>
    <t>12. Stave B - C2#</t>
  </si>
  <si>
    <t>13. Stave B - C2</t>
  </si>
  <si>
    <t>14. Stave B - B1</t>
  </si>
  <si>
    <t>15. Stave B - A1#</t>
  </si>
  <si>
    <t>16. Stave B - A1</t>
  </si>
  <si>
    <t>17. Stave B - G1#</t>
  </si>
  <si>
    <t>18. Stave B - G1</t>
  </si>
  <si>
    <t>19. Stave B - F1#</t>
  </si>
  <si>
    <t>20. Stave B - F1</t>
  </si>
  <si>
    <t>21. Stave B - E1</t>
  </si>
  <si>
    <t>22. Stave B - D1#</t>
  </si>
  <si>
    <t>23. Stave B - D1</t>
  </si>
  <si>
    <t>24. Stave B - C1#</t>
  </si>
  <si>
    <t>25. Stave B -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</si>
</sst>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0" borderId="1" xfId="0" applyNumberFormat="1" applyBorder="1" applyAlignment="1">
      <alignment textRotation="45"/>
    </xf>
    <xf numFmtId="0" fontId="0" fillId="0" borderId="0" xfId="0" applyNumberFormat="1" applyBorder="1" applyAlignment="1">
      <alignment textRotation="45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ve%20Didge%20Design%20Guideli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Variables"/>
      <sheetName val="Design Table"/>
      <sheetName val="Aspect Ratios"/>
      <sheetName val="Method"/>
    </sheetNames>
    <sheetDataSet>
      <sheetData sheetId="0">
        <row r="1">
          <cell r="B1">
            <v>0.75</v>
          </cell>
        </row>
        <row r="4">
          <cell r="B4">
            <v>9.5</v>
          </cell>
        </row>
        <row r="5">
          <cell r="B5">
            <v>29.54735891028448</v>
          </cell>
        </row>
        <row r="6">
          <cell r="B6">
            <v>5.4432950883360407</v>
          </cell>
        </row>
        <row r="13">
          <cell r="B13">
            <v>0.375</v>
          </cell>
        </row>
      </sheetData>
      <sheetData sheetId="1">
        <row r="2">
          <cell r="I2">
            <v>9.1237693511175628</v>
          </cell>
          <cell r="M2">
            <v>0.87699999999999989</v>
          </cell>
        </row>
        <row r="3">
          <cell r="I3">
            <v>9.6586216157106364</v>
          </cell>
          <cell r="M3">
            <v>0.91049999999999986</v>
          </cell>
        </row>
        <row r="4">
          <cell r="I4">
            <v>10.216772885921868</v>
          </cell>
          <cell r="M4">
            <v>0.94499999999999995</v>
          </cell>
        </row>
        <row r="5">
          <cell r="I5">
            <v>10.825844074383193</v>
          </cell>
          <cell r="M5">
            <v>0.98249999999999993</v>
          </cell>
        </row>
        <row r="6">
          <cell r="I6">
            <v>11.488067782476996</v>
          </cell>
          <cell r="M6">
            <v>1.0859999999999999</v>
          </cell>
        </row>
        <row r="7">
          <cell r="I7">
            <v>12.1612863063852</v>
          </cell>
          <cell r="M7">
            <v>1.1274999999999997</v>
          </cell>
        </row>
        <row r="8">
          <cell r="I8">
            <v>12.875346879129372</v>
          </cell>
          <cell r="M8">
            <v>1.1719999999999997</v>
          </cell>
        </row>
        <row r="9">
          <cell r="I9">
            <v>13.631660304664594</v>
          </cell>
          <cell r="M9">
            <v>1.2184999999999997</v>
          </cell>
        </row>
        <row r="10">
          <cell r="I10">
            <v>14.458487306541501</v>
          </cell>
          <cell r="M10">
            <v>1.3324999999999998</v>
          </cell>
        </row>
        <row r="11">
          <cell r="I11">
            <v>15.308593755798478</v>
          </cell>
          <cell r="M11">
            <v>1.3849999999999998</v>
          </cell>
        </row>
        <row r="12">
          <cell r="I12">
            <v>16.20714808956458</v>
          </cell>
          <cell r="M12">
            <v>1.4404999999999999</v>
          </cell>
        </row>
        <row r="13">
          <cell r="I13">
            <v>17.185488856320188</v>
          </cell>
          <cell r="M13">
            <v>1.5634999999999999</v>
          </cell>
        </row>
        <row r="14">
          <cell r="I14">
            <v>18.198219140155043</v>
          </cell>
          <cell r="M14">
            <v>1.6264999999999998</v>
          </cell>
        </row>
        <row r="15">
          <cell r="I15">
            <v>19.265004101620018</v>
          </cell>
          <cell r="M15">
            <v>1.6924999999999999</v>
          </cell>
        </row>
        <row r="16">
          <cell r="I16">
            <v>20.42551414703826</v>
          </cell>
          <cell r="M16">
            <v>1.8264999999999998</v>
          </cell>
        </row>
        <row r="17">
          <cell r="I17">
            <v>21.62634052130327</v>
          </cell>
          <cell r="M17">
            <v>1.9009999999999998</v>
          </cell>
        </row>
        <row r="18">
          <cell r="I18">
            <v>22.900092682564644</v>
          </cell>
          <cell r="M18">
            <v>1.9799999999999998</v>
          </cell>
        </row>
        <row r="19">
          <cell r="I19">
            <v>24.246529730381052</v>
          </cell>
          <cell r="M19">
            <v>2.0629999999999997</v>
          </cell>
        </row>
        <row r="20">
          <cell r="I20">
            <v>25.674650875869396</v>
          </cell>
          <cell r="M20">
            <v>2.1514999999999995</v>
          </cell>
        </row>
        <row r="21">
          <cell r="I21">
            <v>27.20953795757751</v>
          </cell>
          <cell r="M21">
            <v>2.3089999999999997</v>
          </cell>
        </row>
        <row r="22">
          <cell r="I22">
            <v>28.819050378452463</v>
          </cell>
          <cell r="M22">
            <v>2.4084999999999996</v>
          </cell>
        </row>
        <row r="23">
          <cell r="I23">
            <v>30.515797001744499</v>
          </cell>
          <cell r="M23">
            <v>2.5134999999999996</v>
          </cell>
        </row>
        <row r="24">
          <cell r="I24">
            <v>32.312905669276702</v>
          </cell>
          <cell r="M24">
            <v>2.6249999999999996</v>
          </cell>
        </row>
        <row r="25">
          <cell r="I25">
            <v>34.218891947861685</v>
          </cell>
          <cell r="M25">
            <v>2.7429999999999994</v>
          </cell>
        </row>
        <row r="26">
          <cell r="I26">
            <v>36.244352515531389</v>
          </cell>
          <cell r="M26">
            <v>2.8684999999999996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J2" sqref="J2"/>
    </sheetView>
  </sheetViews>
  <sheetFormatPr defaultRowHeight="15" x14ac:dyDescent="0.25"/>
  <cols>
    <col min="1" max="1" width="16.42578125" style="1" customWidth="1"/>
    <col min="2" max="3" width="7.28515625" style="2" customWidth="1"/>
    <col min="4" max="4" width="8.42578125" style="2" customWidth="1"/>
    <col min="5" max="5" width="7.85546875" style="2" customWidth="1"/>
    <col min="6" max="6" width="5.7109375" style="2" customWidth="1"/>
    <col min="7" max="7" width="6.85546875" style="2" customWidth="1"/>
    <col min="8" max="8" width="9.140625" style="2" customWidth="1"/>
    <col min="9" max="9" width="8" style="2" customWidth="1"/>
  </cols>
  <sheetData>
    <row r="1" spans="1:9" x14ac:dyDescent="0.25">
      <c r="A1" s="1" t="s">
        <v>0</v>
      </c>
    </row>
    <row r="2" spans="1:9" s="4" customFormat="1" ht="138.75" x14ac:dyDescent="0.25">
      <c r="A2" s="3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</row>
    <row r="3" spans="1:9" x14ac:dyDescent="0.25">
      <c r="A3" s="1" t="s">
        <v>1</v>
      </c>
      <c r="B3" s="2">
        <v>95.442999999999998</v>
      </c>
      <c r="C3" s="2">
        <v>95.442999999999998</v>
      </c>
      <c r="D3" s="2">
        <v>1.25</v>
      </c>
      <c r="E3" s="2">
        <v>27.21</v>
      </c>
      <c r="F3" s="2">
        <v>0.75000000000000011</v>
      </c>
      <c r="G3" s="2">
        <v>0.37500000000000006</v>
      </c>
      <c r="H3" s="2">
        <v>99.5</v>
      </c>
      <c r="I3" s="2">
        <v>29.547000000000001</v>
      </c>
    </row>
    <row r="4" spans="1:9" x14ac:dyDescent="0.25">
      <c r="A4" s="1" t="s">
        <v>10</v>
      </c>
      <c r="B4" s="2">
        <f>90+[1]GlobalVariables!$B$6</f>
        <v>95.443295088336043</v>
      </c>
      <c r="C4" s="2">
        <f>B4</f>
        <v>95.443295088336043</v>
      </c>
      <c r="D4" s="7">
        <f>'[1]Design Table'!$M2</f>
        <v>0.87699999999999989</v>
      </c>
      <c r="E4" s="7">
        <f>'[1]Design Table'!$I2</f>
        <v>9.1237693511175628</v>
      </c>
      <c r="F4" s="7">
        <f>[1]GlobalVariables!$B$1</f>
        <v>0.75</v>
      </c>
      <c r="G4" s="2">
        <f>[1]GlobalVariables!$B$13</f>
        <v>0.375</v>
      </c>
      <c r="H4" s="7">
        <f>90+[1]GlobalVariables!$B$4</f>
        <v>99.5</v>
      </c>
      <c r="I4" s="2">
        <f>[1]GlobalVariables!$B$5</f>
        <v>29.54735891028448</v>
      </c>
    </row>
    <row r="5" spans="1:9" x14ac:dyDescent="0.25">
      <c r="A5" s="1" t="s">
        <v>11</v>
      </c>
      <c r="B5" s="2">
        <f>90+[1]GlobalVariables!$B$6</f>
        <v>95.443295088336043</v>
      </c>
      <c r="C5" s="2">
        <f t="shared" ref="C5:C28" si="0">B5</f>
        <v>95.443295088336043</v>
      </c>
      <c r="D5" s="7">
        <f>'[1]Design Table'!$M3</f>
        <v>0.91049999999999986</v>
      </c>
      <c r="E5" s="7">
        <f>'[1]Design Table'!$I3</f>
        <v>9.6586216157106364</v>
      </c>
      <c r="F5" s="7">
        <f>[1]GlobalVariables!$B$1</f>
        <v>0.75</v>
      </c>
      <c r="G5" s="2">
        <f>[1]GlobalVariables!$B$13</f>
        <v>0.375</v>
      </c>
      <c r="H5" s="7">
        <f>90+[1]GlobalVariables!$B$4</f>
        <v>99.5</v>
      </c>
      <c r="I5" s="2">
        <f>[1]GlobalVariables!$B$5</f>
        <v>29.54735891028448</v>
      </c>
    </row>
    <row r="6" spans="1:9" x14ac:dyDescent="0.25">
      <c r="A6" s="1" t="s">
        <v>12</v>
      </c>
      <c r="B6" s="2">
        <f>90+[1]GlobalVariables!$B$6</f>
        <v>95.443295088336043</v>
      </c>
      <c r="C6" s="2">
        <f t="shared" si="0"/>
        <v>95.443295088336043</v>
      </c>
      <c r="D6" s="7">
        <f>'[1]Design Table'!$M4</f>
        <v>0.94499999999999995</v>
      </c>
      <c r="E6" s="7">
        <f>'[1]Design Table'!$I4</f>
        <v>10.216772885921868</v>
      </c>
      <c r="F6" s="7">
        <f>[1]GlobalVariables!$B$1</f>
        <v>0.75</v>
      </c>
      <c r="G6" s="2">
        <f>[1]GlobalVariables!$B$13</f>
        <v>0.375</v>
      </c>
      <c r="H6" s="7">
        <f>90+[1]GlobalVariables!$B$4</f>
        <v>99.5</v>
      </c>
      <c r="I6" s="2">
        <f>[1]GlobalVariables!$B$5</f>
        <v>29.54735891028448</v>
      </c>
    </row>
    <row r="7" spans="1:9" x14ac:dyDescent="0.25">
      <c r="A7" s="1" t="s">
        <v>13</v>
      </c>
      <c r="B7" s="2">
        <f>90+[1]GlobalVariables!$B$6</f>
        <v>95.443295088336043</v>
      </c>
      <c r="C7" s="2">
        <f t="shared" si="0"/>
        <v>95.443295088336043</v>
      </c>
      <c r="D7" s="7">
        <f>'[1]Design Table'!$M5</f>
        <v>0.98249999999999993</v>
      </c>
      <c r="E7" s="7">
        <f>'[1]Design Table'!$I5</f>
        <v>10.825844074383193</v>
      </c>
      <c r="F7" s="7">
        <f>[1]GlobalVariables!$B$1</f>
        <v>0.75</v>
      </c>
      <c r="G7" s="2">
        <f>[1]GlobalVariables!$B$13</f>
        <v>0.375</v>
      </c>
      <c r="H7" s="7">
        <f>90+[1]GlobalVariables!$B$4</f>
        <v>99.5</v>
      </c>
      <c r="I7" s="2">
        <f>[1]GlobalVariables!$B$5</f>
        <v>29.54735891028448</v>
      </c>
    </row>
    <row r="8" spans="1:9" x14ac:dyDescent="0.25">
      <c r="A8" s="1" t="s">
        <v>14</v>
      </c>
      <c r="B8" s="2">
        <f>90+[1]GlobalVariables!$B$6</f>
        <v>95.443295088336043</v>
      </c>
      <c r="C8" s="2">
        <f t="shared" si="0"/>
        <v>95.443295088336043</v>
      </c>
      <c r="D8" s="7">
        <f>'[1]Design Table'!$M6</f>
        <v>1.0859999999999999</v>
      </c>
      <c r="E8" s="7">
        <f>'[1]Design Table'!$I6</f>
        <v>11.488067782476996</v>
      </c>
      <c r="F8" s="7">
        <f>[1]GlobalVariables!$B$1</f>
        <v>0.75</v>
      </c>
      <c r="G8" s="2">
        <f>[1]GlobalVariables!$B$13</f>
        <v>0.375</v>
      </c>
      <c r="H8" s="7">
        <f>90+[1]GlobalVariables!$B$4</f>
        <v>99.5</v>
      </c>
      <c r="I8" s="2">
        <f>[1]GlobalVariables!$B$5</f>
        <v>29.54735891028448</v>
      </c>
    </row>
    <row r="9" spans="1:9" x14ac:dyDescent="0.25">
      <c r="A9" s="1" t="s">
        <v>15</v>
      </c>
      <c r="B9" s="2">
        <f>90+[1]GlobalVariables!$B$6</f>
        <v>95.443295088336043</v>
      </c>
      <c r="C9" s="2">
        <f t="shared" si="0"/>
        <v>95.443295088336043</v>
      </c>
      <c r="D9" s="7">
        <f>'[1]Design Table'!$M7</f>
        <v>1.1274999999999997</v>
      </c>
      <c r="E9" s="7">
        <f>'[1]Design Table'!$I7</f>
        <v>12.1612863063852</v>
      </c>
      <c r="F9" s="7">
        <f>[1]GlobalVariables!$B$1</f>
        <v>0.75</v>
      </c>
      <c r="G9" s="2">
        <f>[1]GlobalVariables!$B$13</f>
        <v>0.375</v>
      </c>
      <c r="H9" s="7">
        <f>90+[1]GlobalVariables!$B$4</f>
        <v>99.5</v>
      </c>
      <c r="I9" s="2">
        <f>[1]GlobalVariables!$B$5</f>
        <v>29.54735891028448</v>
      </c>
    </row>
    <row r="10" spans="1:9" x14ac:dyDescent="0.25">
      <c r="A10" s="1" t="s">
        <v>16</v>
      </c>
      <c r="B10" s="2">
        <f>90+[1]GlobalVariables!$B$6</f>
        <v>95.443295088336043</v>
      </c>
      <c r="C10" s="2">
        <f t="shared" si="0"/>
        <v>95.443295088336043</v>
      </c>
      <c r="D10" s="7">
        <f>'[1]Design Table'!$M8</f>
        <v>1.1719999999999997</v>
      </c>
      <c r="E10" s="7">
        <f>'[1]Design Table'!$I8</f>
        <v>12.875346879129372</v>
      </c>
      <c r="F10" s="7">
        <f>[1]GlobalVariables!$B$1</f>
        <v>0.75</v>
      </c>
      <c r="G10" s="2">
        <f>[1]GlobalVariables!$B$13</f>
        <v>0.375</v>
      </c>
      <c r="H10" s="7">
        <f>90+[1]GlobalVariables!$B$4</f>
        <v>99.5</v>
      </c>
      <c r="I10" s="2">
        <f>[1]GlobalVariables!$B$5</f>
        <v>29.54735891028448</v>
      </c>
    </row>
    <row r="11" spans="1:9" x14ac:dyDescent="0.25">
      <c r="A11" s="1" t="s">
        <v>17</v>
      </c>
      <c r="B11" s="2">
        <f>90+[1]GlobalVariables!$B$6</f>
        <v>95.443295088336043</v>
      </c>
      <c r="C11" s="2">
        <f t="shared" si="0"/>
        <v>95.443295088336043</v>
      </c>
      <c r="D11" s="7">
        <f>'[1]Design Table'!$M9</f>
        <v>1.2184999999999997</v>
      </c>
      <c r="E11" s="7">
        <f>'[1]Design Table'!$I9</f>
        <v>13.631660304664594</v>
      </c>
      <c r="F11" s="7">
        <f>[1]GlobalVariables!$B$1</f>
        <v>0.75</v>
      </c>
      <c r="G11" s="2">
        <f>[1]GlobalVariables!$B$13</f>
        <v>0.375</v>
      </c>
      <c r="H11" s="7">
        <f>90+[1]GlobalVariables!$B$4</f>
        <v>99.5</v>
      </c>
      <c r="I11" s="2">
        <f>[1]GlobalVariables!$B$5</f>
        <v>29.54735891028448</v>
      </c>
    </row>
    <row r="12" spans="1:9" x14ac:dyDescent="0.25">
      <c r="A12" s="1" t="s">
        <v>18</v>
      </c>
      <c r="B12" s="2">
        <f>90+[1]GlobalVariables!$B$6</f>
        <v>95.443295088336043</v>
      </c>
      <c r="C12" s="2">
        <f t="shared" si="0"/>
        <v>95.443295088336043</v>
      </c>
      <c r="D12" s="7">
        <f>'[1]Design Table'!$M10</f>
        <v>1.3324999999999998</v>
      </c>
      <c r="E12" s="7">
        <f>'[1]Design Table'!$I10</f>
        <v>14.458487306541501</v>
      </c>
      <c r="F12" s="7">
        <f>[1]GlobalVariables!$B$1</f>
        <v>0.75</v>
      </c>
      <c r="G12" s="2">
        <f>[1]GlobalVariables!$B$13</f>
        <v>0.375</v>
      </c>
      <c r="H12" s="7">
        <f>90+[1]GlobalVariables!$B$4</f>
        <v>99.5</v>
      </c>
      <c r="I12" s="2">
        <f>[1]GlobalVariables!$B$5</f>
        <v>29.54735891028448</v>
      </c>
    </row>
    <row r="13" spans="1:9" x14ac:dyDescent="0.25">
      <c r="A13" s="1" t="s">
        <v>19</v>
      </c>
      <c r="B13" s="2">
        <f>90+[1]GlobalVariables!$B$6</f>
        <v>95.443295088336043</v>
      </c>
      <c r="C13" s="2">
        <f t="shared" si="0"/>
        <v>95.443295088336043</v>
      </c>
      <c r="D13" s="7">
        <f>'[1]Design Table'!$M11</f>
        <v>1.3849999999999998</v>
      </c>
      <c r="E13" s="7">
        <f>'[1]Design Table'!$I11</f>
        <v>15.308593755798478</v>
      </c>
      <c r="F13" s="7">
        <f>[1]GlobalVariables!$B$1</f>
        <v>0.75</v>
      </c>
      <c r="G13" s="2">
        <f>[1]GlobalVariables!$B$13</f>
        <v>0.375</v>
      </c>
      <c r="H13" s="7">
        <f>90+[1]GlobalVariables!$B$4</f>
        <v>99.5</v>
      </c>
      <c r="I13" s="2">
        <f>[1]GlobalVariables!$B$5</f>
        <v>29.54735891028448</v>
      </c>
    </row>
    <row r="14" spans="1:9" x14ac:dyDescent="0.25">
      <c r="A14" s="1" t="s">
        <v>20</v>
      </c>
      <c r="B14" s="2">
        <f>90+[1]GlobalVariables!$B$6</f>
        <v>95.443295088336043</v>
      </c>
      <c r="C14" s="2">
        <f t="shared" si="0"/>
        <v>95.443295088336043</v>
      </c>
      <c r="D14" s="7">
        <f>'[1]Design Table'!$M12</f>
        <v>1.4404999999999999</v>
      </c>
      <c r="E14" s="7">
        <f>'[1]Design Table'!$I12</f>
        <v>16.20714808956458</v>
      </c>
      <c r="F14" s="7">
        <f>[1]GlobalVariables!$B$1</f>
        <v>0.75</v>
      </c>
      <c r="G14" s="2">
        <f>[1]GlobalVariables!$B$13</f>
        <v>0.375</v>
      </c>
      <c r="H14" s="7">
        <f>90+[1]GlobalVariables!$B$4</f>
        <v>99.5</v>
      </c>
      <c r="I14" s="2">
        <f>[1]GlobalVariables!$B$5</f>
        <v>29.54735891028448</v>
      </c>
    </row>
    <row r="15" spans="1:9" x14ac:dyDescent="0.25">
      <c r="A15" s="1" t="s">
        <v>21</v>
      </c>
      <c r="B15" s="2">
        <f>90+[1]GlobalVariables!$B$6</f>
        <v>95.443295088336043</v>
      </c>
      <c r="C15" s="2">
        <f t="shared" si="0"/>
        <v>95.443295088336043</v>
      </c>
      <c r="D15" s="7">
        <f>'[1]Design Table'!$M13</f>
        <v>1.5634999999999999</v>
      </c>
      <c r="E15" s="7">
        <f>'[1]Design Table'!$I13</f>
        <v>17.185488856320188</v>
      </c>
      <c r="F15" s="7">
        <f>[1]GlobalVariables!$B$1</f>
        <v>0.75</v>
      </c>
      <c r="G15" s="2">
        <f>[1]GlobalVariables!$B$13</f>
        <v>0.375</v>
      </c>
      <c r="H15" s="7">
        <f>90+[1]GlobalVariables!$B$4</f>
        <v>99.5</v>
      </c>
      <c r="I15" s="2">
        <f>[1]GlobalVariables!$B$5</f>
        <v>29.54735891028448</v>
      </c>
    </row>
    <row r="16" spans="1:9" x14ac:dyDescent="0.25">
      <c r="A16" s="1" t="s">
        <v>22</v>
      </c>
      <c r="B16" s="2">
        <f>90+[1]GlobalVariables!$B$6</f>
        <v>95.443295088336043</v>
      </c>
      <c r="C16" s="2">
        <f t="shared" si="0"/>
        <v>95.443295088336043</v>
      </c>
      <c r="D16" s="7">
        <f>'[1]Design Table'!$M14</f>
        <v>1.6264999999999998</v>
      </c>
      <c r="E16" s="7">
        <f>'[1]Design Table'!$I14</f>
        <v>18.198219140155043</v>
      </c>
      <c r="F16" s="7">
        <f>[1]GlobalVariables!$B$1</f>
        <v>0.75</v>
      </c>
      <c r="G16" s="2">
        <f>[1]GlobalVariables!$B$13</f>
        <v>0.375</v>
      </c>
      <c r="H16" s="7">
        <f>90+[1]GlobalVariables!$B$4</f>
        <v>99.5</v>
      </c>
      <c r="I16" s="2">
        <f>[1]GlobalVariables!$B$5</f>
        <v>29.54735891028448</v>
      </c>
    </row>
    <row r="17" spans="1:9" x14ac:dyDescent="0.25">
      <c r="A17" s="1" t="s">
        <v>23</v>
      </c>
      <c r="B17" s="2">
        <f>90+[1]GlobalVariables!$B$6</f>
        <v>95.443295088336043</v>
      </c>
      <c r="C17" s="2">
        <f t="shared" si="0"/>
        <v>95.443295088336043</v>
      </c>
      <c r="D17" s="7">
        <f>'[1]Design Table'!$M15</f>
        <v>1.6924999999999999</v>
      </c>
      <c r="E17" s="7">
        <f>'[1]Design Table'!$I15</f>
        <v>19.265004101620018</v>
      </c>
      <c r="F17" s="7">
        <f>[1]GlobalVariables!$B$1</f>
        <v>0.75</v>
      </c>
      <c r="G17" s="2">
        <f>[1]GlobalVariables!$B$13</f>
        <v>0.375</v>
      </c>
      <c r="H17" s="7">
        <f>90+[1]GlobalVariables!$B$4</f>
        <v>99.5</v>
      </c>
      <c r="I17" s="2">
        <f>[1]GlobalVariables!$B$5</f>
        <v>29.54735891028448</v>
      </c>
    </row>
    <row r="18" spans="1:9" x14ac:dyDescent="0.25">
      <c r="A18" s="1" t="s">
        <v>24</v>
      </c>
      <c r="B18" s="2">
        <f>90+[1]GlobalVariables!$B$6</f>
        <v>95.443295088336043</v>
      </c>
      <c r="C18" s="2">
        <f t="shared" si="0"/>
        <v>95.443295088336043</v>
      </c>
      <c r="D18" s="7">
        <f>'[1]Design Table'!$M16</f>
        <v>1.8264999999999998</v>
      </c>
      <c r="E18" s="7">
        <f>'[1]Design Table'!$I16</f>
        <v>20.42551414703826</v>
      </c>
      <c r="F18" s="7">
        <f>[1]GlobalVariables!$B$1</f>
        <v>0.75</v>
      </c>
      <c r="G18" s="2">
        <f>[1]GlobalVariables!$B$13</f>
        <v>0.375</v>
      </c>
      <c r="H18" s="7">
        <f>90+[1]GlobalVariables!$B$4</f>
        <v>99.5</v>
      </c>
      <c r="I18" s="2">
        <f>[1]GlobalVariables!$B$5</f>
        <v>29.54735891028448</v>
      </c>
    </row>
    <row r="19" spans="1:9" x14ac:dyDescent="0.25">
      <c r="A19" s="1" t="s">
        <v>25</v>
      </c>
      <c r="B19" s="2">
        <f>90+[1]GlobalVariables!$B$6</f>
        <v>95.443295088336043</v>
      </c>
      <c r="C19" s="2">
        <f t="shared" si="0"/>
        <v>95.443295088336043</v>
      </c>
      <c r="D19" s="7">
        <f>'[1]Design Table'!$M17</f>
        <v>1.9009999999999998</v>
      </c>
      <c r="E19" s="7">
        <f>'[1]Design Table'!$I17</f>
        <v>21.62634052130327</v>
      </c>
      <c r="F19" s="7">
        <f>[1]GlobalVariables!$B$1</f>
        <v>0.75</v>
      </c>
      <c r="G19" s="2">
        <f>[1]GlobalVariables!$B$13</f>
        <v>0.375</v>
      </c>
      <c r="H19" s="7">
        <f>90+[1]GlobalVariables!$B$4</f>
        <v>99.5</v>
      </c>
      <c r="I19" s="2">
        <f>[1]GlobalVariables!$B$5</f>
        <v>29.54735891028448</v>
      </c>
    </row>
    <row r="20" spans="1:9" x14ac:dyDescent="0.25">
      <c r="A20" s="1" t="s">
        <v>26</v>
      </c>
      <c r="B20" s="2">
        <f>90+[1]GlobalVariables!$B$6</f>
        <v>95.443295088336043</v>
      </c>
      <c r="C20" s="2">
        <f t="shared" si="0"/>
        <v>95.443295088336043</v>
      </c>
      <c r="D20" s="7">
        <f>'[1]Design Table'!$M18</f>
        <v>1.9799999999999998</v>
      </c>
      <c r="E20" s="7">
        <f>'[1]Design Table'!$I18</f>
        <v>22.900092682564644</v>
      </c>
      <c r="F20" s="7">
        <f>[1]GlobalVariables!$B$1</f>
        <v>0.75</v>
      </c>
      <c r="G20" s="2">
        <f>[1]GlobalVariables!$B$13</f>
        <v>0.375</v>
      </c>
      <c r="H20" s="7">
        <f>90+[1]GlobalVariables!$B$4</f>
        <v>99.5</v>
      </c>
      <c r="I20" s="2">
        <f>[1]GlobalVariables!$B$5</f>
        <v>29.54735891028448</v>
      </c>
    </row>
    <row r="21" spans="1:9" x14ac:dyDescent="0.25">
      <c r="A21" s="1" t="s">
        <v>27</v>
      </c>
      <c r="B21" s="2">
        <f>90+[1]GlobalVariables!$B$6</f>
        <v>95.443295088336043</v>
      </c>
      <c r="C21" s="2">
        <f t="shared" si="0"/>
        <v>95.443295088336043</v>
      </c>
      <c r="D21" s="7">
        <f>'[1]Design Table'!$M19</f>
        <v>2.0629999999999997</v>
      </c>
      <c r="E21" s="7">
        <f>'[1]Design Table'!$I19</f>
        <v>24.246529730381052</v>
      </c>
      <c r="F21" s="7">
        <f>[1]GlobalVariables!$B$1</f>
        <v>0.75</v>
      </c>
      <c r="G21" s="2">
        <f>[1]GlobalVariables!$B$13</f>
        <v>0.375</v>
      </c>
      <c r="H21" s="7">
        <f>90+[1]GlobalVariables!$B$4</f>
        <v>99.5</v>
      </c>
      <c r="I21" s="2">
        <f>[1]GlobalVariables!$B$5</f>
        <v>29.54735891028448</v>
      </c>
    </row>
    <row r="22" spans="1:9" x14ac:dyDescent="0.25">
      <c r="A22" s="1" t="s">
        <v>28</v>
      </c>
      <c r="B22" s="2">
        <f>90+[1]GlobalVariables!$B$6</f>
        <v>95.443295088336043</v>
      </c>
      <c r="C22" s="2">
        <f t="shared" si="0"/>
        <v>95.443295088336043</v>
      </c>
      <c r="D22" s="7">
        <f>'[1]Design Table'!$M20</f>
        <v>2.1514999999999995</v>
      </c>
      <c r="E22" s="7">
        <f>'[1]Design Table'!$I20</f>
        <v>25.674650875869396</v>
      </c>
      <c r="F22" s="7">
        <f>[1]GlobalVariables!$B$1</f>
        <v>0.75</v>
      </c>
      <c r="G22" s="2">
        <f>[1]GlobalVariables!$B$13</f>
        <v>0.375</v>
      </c>
      <c r="H22" s="7">
        <f>90+[1]GlobalVariables!$B$4</f>
        <v>99.5</v>
      </c>
      <c r="I22" s="2">
        <f>[1]GlobalVariables!$B$5</f>
        <v>29.54735891028448</v>
      </c>
    </row>
    <row r="23" spans="1:9" x14ac:dyDescent="0.25">
      <c r="A23" s="1" t="s">
        <v>29</v>
      </c>
      <c r="B23" s="2">
        <f>90+[1]GlobalVariables!$B$6</f>
        <v>95.443295088336043</v>
      </c>
      <c r="C23" s="2">
        <f t="shared" si="0"/>
        <v>95.443295088336043</v>
      </c>
      <c r="D23" s="7">
        <f>'[1]Design Table'!$M21</f>
        <v>2.3089999999999997</v>
      </c>
      <c r="E23" s="7">
        <f>'[1]Design Table'!$I21</f>
        <v>27.20953795757751</v>
      </c>
      <c r="F23" s="7">
        <f>[1]GlobalVariables!$B$1</f>
        <v>0.75</v>
      </c>
      <c r="G23" s="2">
        <f>[1]GlobalVariables!$B$13</f>
        <v>0.375</v>
      </c>
      <c r="H23" s="7">
        <f>90+[1]GlobalVariables!$B$4</f>
        <v>99.5</v>
      </c>
      <c r="I23" s="2">
        <f>[1]GlobalVariables!$B$5</f>
        <v>29.54735891028448</v>
      </c>
    </row>
    <row r="24" spans="1:9" x14ac:dyDescent="0.25">
      <c r="A24" s="1" t="s">
        <v>30</v>
      </c>
      <c r="B24" s="2">
        <f>90+[1]GlobalVariables!$B$6</f>
        <v>95.443295088336043</v>
      </c>
      <c r="C24" s="2">
        <f t="shared" si="0"/>
        <v>95.443295088336043</v>
      </c>
      <c r="D24" s="7">
        <f>'[1]Design Table'!$M22</f>
        <v>2.4084999999999996</v>
      </c>
      <c r="E24" s="7">
        <f>'[1]Design Table'!$I22</f>
        <v>28.819050378452463</v>
      </c>
      <c r="F24" s="7">
        <f>[1]GlobalVariables!$B$1</f>
        <v>0.75</v>
      </c>
      <c r="G24" s="2">
        <f>[1]GlobalVariables!$B$13</f>
        <v>0.375</v>
      </c>
      <c r="H24" s="7">
        <f>90+[1]GlobalVariables!$B$4</f>
        <v>99.5</v>
      </c>
      <c r="I24" s="2">
        <f>[1]GlobalVariables!$B$5</f>
        <v>29.54735891028448</v>
      </c>
    </row>
    <row r="25" spans="1:9" x14ac:dyDescent="0.25">
      <c r="A25" s="1" t="s">
        <v>31</v>
      </c>
      <c r="B25" s="2">
        <f>90+[1]GlobalVariables!$B$6</f>
        <v>95.443295088336043</v>
      </c>
      <c r="C25" s="2">
        <f t="shared" si="0"/>
        <v>95.443295088336043</v>
      </c>
      <c r="D25" s="7">
        <f>'[1]Design Table'!$M23</f>
        <v>2.5134999999999996</v>
      </c>
      <c r="E25" s="7">
        <f>'[1]Design Table'!$I23</f>
        <v>30.515797001744499</v>
      </c>
      <c r="F25" s="7">
        <f>[1]GlobalVariables!$B$1</f>
        <v>0.75</v>
      </c>
      <c r="G25" s="2">
        <f>[1]GlobalVariables!$B$13</f>
        <v>0.375</v>
      </c>
      <c r="H25" s="7">
        <f>90+[1]GlobalVariables!$B$4</f>
        <v>99.5</v>
      </c>
      <c r="I25" s="2">
        <f>[1]GlobalVariables!$B$5</f>
        <v>29.54735891028448</v>
      </c>
    </row>
    <row r="26" spans="1:9" x14ac:dyDescent="0.25">
      <c r="A26" s="1" t="s">
        <v>32</v>
      </c>
      <c r="B26" s="2">
        <f>90+[1]GlobalVariables!$B$6</f>
        <v>95.443295088336043</v>
      </c>
      <c r="C26" s="2">
        <f t="shared" si="0"/>
        <v>95.443295088336043</v>
      </c>
      <c r="D26" s="7">
        <f>'[1]Design Table'!$M24</f>
        <v>2.6249999999999996</v>
      </c>
      <c r="E26" s="7">
        <f>'[1]Design Table'!$I24</f>
        <v>32.312905669276702</v>
      </c>
      <c r="F26" s="7">
        <f>[1]GlobalVariables!$B$1</f>
        <v>0.75</v>
      </c>
      <c r="G26" s="2">
        <f>[1]GlobalVariables!$B$13</f>
        <v>0.375</v>
      </c>
      <c r="H26" s="7">
        <f>90+[1]GlobalVariables!$B$4</f>
        <v>99.5</v>
      </c>
      <c r="I26" s="2">
        <f>[1]GlobalVariables!$B$5</f>
        <v>29.54735891028448</v>
      </c>
    </row>
    <row r="27" spans="1:9" x14ac:dyDescent="0.25">
      <c r="A27" s="1" t="s">
        <v>33</v>
      </c>
      <c r="B27" s="2">
        <f>90+[1]GlobalVariables!$B$6</f>
        <v>95.443295088336043</v>
      </c>
      <c r="C27" s="2">
        <f t="shared" si="0"/>
        <v>95.443295088336043</v>
      </c>
      <c r="D27" s="7">
        <f>'[1]Design Table'!$M25</f>
        <v>2.7429999999999994</v>
      </c>
      <c r="E27" s="7">
        <f>'[1]Design Table'!$I25</f>
        <v>34.218891947861685</v>
      </c>
      <c r="F27" s="7">
        <f>[1]GlobalVariables!$B$1</f>
        <v>0.75</v>
      </c>
      <c r="G27" s="2">
        <f>[1]GlobalVariables!$B$13</f>
        <v>0.375</v>
      </c>
      <c r="H27" s="7">
        <f>90+[1]GlobalVariables!$B$4</f>
        <v>99.5</v>
      </c>
      <c r="I27" s="2">
        <f>[1]GlobalVariables!$B$5</f>
        <v>29.54735891028448</v>
      </c>
    </row>
    <row r="28" spans="1:9" x14ac:dyDescent="0.25">
      <c r="A28" s="1" t="s">
        <v>34</v>
      </c>
      <c r="B28" s="2">
        <f>90+[1]GlobalVariables!$B$6</f>
        <v>95.443295088336043</v>
      </c>
      <c r="C28" s="2">
        <f t="shared" si="0"/>
        <v>95.443295088336043</v>
      </c>
      <c r="D28" s="7">
        <f>'[1]Design Table'!$M26</f>
        <v>2.8684999999999996</v>
      </c>
      <c r="E28" s="7">
        <f>'[1]Design Table'!$I26</f>
        <v>36.244352515531389</v>
      </c>
      <c r="F28" s="7">
        <f>[1]GlobalVariables!$B$1</f>
        <v>0.75</v>
      </c>
      <c r="G28" s="2">
        <f>[1]GlobalVariables!$B$13</f>
        <v>0.375</v>
      </c>
      <c r="H28" s="7">
        <f>90+[1]GlobalVariables!$B$4</f>
        <v>99.5</v>
      </c>
      <c r="I28" s="2">
        <f>[1]GlobalVariables!$B$5</f>
        <v>29.54735891028448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2013-05-26T23:22:19Z</dcterms:created>
  <dcterms:modified xsi:type="dcterms:W3CDTF">2013-05-30T03:29:40Z</dcterms:modified>
</cp:coreProperties>
</file>