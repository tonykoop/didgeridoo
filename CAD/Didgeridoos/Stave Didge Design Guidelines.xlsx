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ny\Documents\CAD\Wood Stave Instruments\Didgeridoos\"/>
    </mc:Choice>
  </mc:AlternateContent>
  <bookViews>
    <workbookView xWindow="75" yWindow="3225" windowWidth="8160" windowHeight="9735" activeTab="1"/>
  </bookViews>
  <sheets>
    <sheet name="GlobalVariables" sheetId="16" r:id="rId1"/>
    <sheet name="Design Table" sheetId="14" r:id="rId2"/>
    <sheet name="Aspect Ratios" sheetId="1" r:id="rId3"/>
    <sheet name="Method" sheetId="11" r:id="rId4"/>
  </sheets>
  <externalReferences>
    <externalReference r:id="rId5"/>
  </externalReferences>
  <definedNames>
    <definedName name="Family">[1]Sheet1!$A$2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3" i="11" l="1"/>
  <c r="D22" i="11"/>
  <c r="D21" i="11"/>
  <c r="D20" i="11"/>
  <c r="D19" i="11"/>
  <c r="C28" i="1"/>
  <c r="D28" i="1"/>
  <c r="C22" i="1"/>
  <c r="D22" i="1"/>
  <c r="G22" i="1"/>
  <c r="C16" i="1"/>
  <c r="D16" i="1"/>
  <c r="G16" i="1"/>
  <c r="C10" i="1"/>
  <c r="D10" i="1"/>
  <c r="F6" i="14"/>
  <c r="I6" i="14"/>
  <c r="C7" i="1"/>
  <c r="D7" i="1"/>
  <c r="D2" i="1"/>
  <c r="C29" i="1"/>
  <c r="D29" i="1"/>
  <c r="E29" i="1"/>
  <c r="D26" i="14"/>
  <c r="C26" i="14"/>
  <c r="G26" i="14"/>
  <c r="K26" i="14"/>
  <c r="C25" i="14"/>
  <c r="G25" i="14"/>
  <c r="K25" i="14"/>
  <c r="C24" i="14"/>
  <c r="G24" i="14"/>
  <c r="K24" i="14"/>
  <c r="C23" i="14"/>
  <c r="D23" i="14"/>
  <c r="C22" i="14"/>
  <c r="G22" i="14"/>
  <c r="K22" i="14"/>
  <c r="C21" i="14"/>
  <c r="G21" i="14"/>
  <c r="K21" i="14"/>
  <c r="C20" i="14"/>
  <c r="G20" i="14"/>
  <c r="K20" i="14"/>
  <c r="C19" i="14"/>
  <c r="D19" i="14"/>
  <c r="C18" i="14"/>
  <c r="G18" i="14"/>
  <c r="K18" i="14"/>
  <c r="C17" i="14"/>
  <c r="G17" i="14"/>
  <c r="K17" i="14"/>
  <c r="C16" i="14"/>
  <c r="G16" i="14"/>
  <c r="K16" i="14"/>
  <c r="C15" i="14"/>
  <c r="D15" i="14"/>
  <c r="C14" i="14"/>
  <c r="G14" i="14"/>
  <c r="K14" i="14"/>
  <c r="L14" i="14"/>
  <c r="C13" i="14"/>
  <c r="G13" i="14"/>
  <c r="K13" i="14"/>
  <c r="F12" i="14"/>
  <c r="I12" i="14"/>
  <c r="C12" i="14"/>
  <c r="G12" i="14"/>
  <c r="K12" i="14"/>
  <c r="C11" i="14"/>
  <c r="G11" i="14"/>
  <c r="K11" i="14"/>
  <c r="L11" i="14"/>
  <c r="C10" i="14"/>
  <c r="D10" i="14"/>
  <c r="E10" i="14"/>
  <c r="H10" i="14"/>
  <c r="C9" i="14"/>
  <c r="G9" i="14"/>
  <c r="K9" i="14"/>
  <c r="C8" i="14"/>
  <c r="D8" i="14"/>
  <c r="E8" i="14"/>
  <c r="H8" i="14"/>
  <c r="C7" i="14"/>
  <c r="D7" i="14"/>
  <c r="C6" i="14"/>
  <c r="G6" i="14"/>
  <c r="K6" i="14"/>
  <c r="C5" i="14"/>
  <c r="G5" i="14"/>
  <c r="K5" i="14"/>
  <c r="C4" i="14"/>
  <c r="D4" i="14"/>
  <c r="C3" i="14"/>
  <c r="G3" i="14"/>
  <c r="K3" i="14"/>
  <c r="C2" i="14"/>
  <c r="D2" i="14"/>
  <c r="B12" i="16"/>
  <c r="B3" i="16"/>
  <c r="D2" i="16"/>
  <c r="B5" i="16"/>
  <c r="G10" i="14"/>
  <c r="K10" i="14"/>
  <c r="L10" i="14"/>
  <c r="G19" i="14"/>
  <c r="K19" i="14"/>
  <c r="G4" i="14"/>
  <c r="K4" i="14"/>
  <c r="L4" i="14"/>
  <c r="D18" i="14"/>
  <c r="E18" i="14"/>
  <c r="H18" i="14"/>
  <c r="D20" i="14"/>
  <c r="E20" i="14"/>
  <c r="H20" i="14"/>
  <c r="D22" i="14"/>
  <c r="C9" i="1"/>
  <c r="D9" i="1"/>
  <c r="I9" i="1"/>
  <c r="C14" i="1"/>
  <c r="D14" i="1"/>
  <c r="C20" i="1"/>
  <c r="D20" i="1"/>
  <c r="C8" i="1"/>
  <c r="D8" i="1"/>
  <c r="E8" i="1"/>
  <c r="G10" i="1"/>
  <c r="C18" i="1"/>
  <c r="D18" i="1"/>
  <c r="C24" i="1"/>
  <c r="D24" i="1"/>
  <c r="C30" i="1"/>
  <c r="D30" i="1"/>
  <c r="C6" i="1"/>
  <c r="D6" i="1"/>
  <c r="C12" i="1"/>
  <c r="D12" i="1"/>
  <c r="G12" i="1"/>
  <c r="C26" i="1"/>
  <c r="D26" i="1"/>
  <c r="D5" i="14"/>
  <c r="E5" i="14"/>
  <c r="H5" i="14"/>
  <c r="G8" i="14"/>
  <c r="K8" i="14"/>
  <c r="L8" i="14"/>
  <c r="D12" i="14"/>
  <c r="E12" i="14"/>
  <c r="H12" i="14"/>
  <c r="D14" i="14"/>
  <c r="D16" i="14"/>
  <c r="E16" i="14"/>
  <c r="H16" i="14"/>
  <c r="D9" i="14"/>
  <c r="E9" i="14"/>
  <c r="H9" i="14"/>
  <c r="G15" i="14"/>
  <c r="K15" i="14"/>
  <c r="L15" i="14"/>
  <c r="D24" i="14"/>
  <c r="E24" i="14"/>
  <c r="H24" i="14"/>
  <c r="L18" i="14"/>
  <c r="L22" i="14"/>
  <c r="B6" i="16"/>
  <c r="L6" i="14"/>
  <c r="L17" i="14"/>
  <c r="L19" i="14"/>
  <c r="L9" i="14"/>
  <c r="L12" i="14"/>
  <c r="L26" i="14"/>
  <c r="L5" i="14"/>
  <c r="G9" i="1"/>
  <c r="F9" i="1"/>
  <c r="F5" i="14"/>
  <c r="D3" i="14"/>
  <c r="G23" i="14"/>
  <c r="K23" i="14"/>
  <c r="L23" i="14"/>
  <c r="E20" i="1"/>
  <c r="I20" i="1"/>
  <c r="F20" i="1"/>
  <c r="G20" i="1"/>
  <c r="F16" i="14"/>
  <c r="B6" i="14"/>
  <c r="E30" i="1"/>
  <c r="E7" i="14"/>
  <c r="H7" i="14"/>
  <c r="G7" i="1"/>
  <c r="F7" i="1"/>
  <c r="I7" i="1"/>
  <c r="E7" i="1"/>
  <c r="F3" i="14"/>
  <c r="F14" i="1"/>
  <c r="E2" i="14"/>
  <c r="H2" i="14"/>
  <c r="D5" i="16"/>
  <c r="G2" i="14"/>
  <c r="K2" i="14"/>
  <c r="L2" i="14"/>
  <c r="L3" i="14"/>
  <c r="G7" i="14"/>
  <c r="K7" i="14"/>
  <c r="L7" i="14"/>
  <c r="D11" i="14"/>
  <c r="E23" i="14"/>
  <c r="H23" i="14"/>
  <c r="I24" i="1"/>
  <c r="F24" i="1"/>
  <c r="E4" i="14"/>
  <c r="H4" i="14"/>
  <c r="D6" i="14"/>
  <c r="B12" i="14"/>
  <c r="J12" i="14"/>
  <c r="M12" i="14"/>
  <c r="E19" i="14"/>
  <c r="H19" i="14"/>
  <c r="L24" i="14"/>
  <c r="L25" i="14"/>
  <c r="E14" i="14"/>
  <c r="H14" i="14"/>
  <c r="L20" i="14"/>
  <c r="L21" i="14"/>
  <c r="E22" i="14"/>
  <c r="H22" i="14"/>
  <c r="G29" i="1"/>
  <c r="F29" i="1"/>
  <c r="F25" i="14"/>
  <c r="I29" i="1"/>
  <c r="I12" i="1"/>
  <c r="E16" i="1"/>
  <c r="I16" i="1"/>
  <c r="F16" i="1"/>
  <c r="E22" i="1"/>
  <c r="F18" i="14"/>
  <c r="I22" i="1"/>
  <c r="F22" i="1"/>
  <c r="E28" i="1"/>
  <c r="I28" i="1"/>
  <c r="F28" i="1"/>
  <c r="G28" i="1"/>
  <c r="F24" i="14"/>
  <c r="L13" i="14"/>
  <c r="E15" i="14"/>
  <c r="H15" i="14"/>
  <c r="L16" i="14"/>
  <c r="E26" i="14"/>
  <c r="H26" i="14"/>
  <c r="E6" i="1"/>
  <c r="I6" i="1"/>
  <c r="F8" i="1"/>
  <c r="E10" i="1"/>
  <c r="I10" i="1"/>
  <c r="F10" i="1"/>
  <c r="E18" i="1"/>
  <c r="F14" i="14"/>
  <c r="I18" i="1"/>
  <c r="F18" i="1"/>
  <c r="E26" i="1"/>
  <c r="F22" i="14"/>
  <c r="J22" i="14"/>
  <c r="M22" i="14"/>
  <c r="I26" i="1"/>
  <c r="F26" i="1"/>
  <c r="D13" i="14"/>
  <c r="D17" i="14"/>
  <c r="D21" i="14"/>
  <c r="D25" i="14"/>
  <c r="C11" i="1"/>
  <c r="D11" i="1"/>
  <c r="C13" i="1"/>
  <c r="D13" i="1"/>
  <c r="C15" i="1"/>
  <c r="D15" i="1"/>
  <c r="C17" i="1"/>
  <c r="D17" i="1"/>
  <c r="C19" i="1"/>
  <c r="D19" i="1"/>
  <c r="C21" i="1"/>
  <c r="D21" i="1"/>
  <c r="C23" i="1"/>
  <c r="D23" i="1"/>
  <c r="C25" i="1"/>
  <c r="D25" i="1"/>
  <c r="C27" i="1"/>
  <c r="D27" i="1"/>
  <c r="G24" i="1"/>
  <c r="F20" i="14"/>
  <c r="E24" i="1"/>
  <c r="G30" i="1"/>
  <c r="E14" i="1"/>
  <c r="I30" i="1"/>
  <c r="E9" i="1"/>
  <c r="G18" i="1"/>
  <c r="F8" i="14"/>
  <c r="G8" i="1"/>
  <c r="F4" i="14"/>
  <c r="I8" i="1"/>
  <c r="E12" i="1"/>
  <c r="I14" i="1"/>
  <c r="F30" i="1"/>
  <c r="G6" i="1"/>
  <c r="F2" i="14"/>
  <c r="F6" i="1"/>
  <c r="F12" i="1"/>
  <c r="G14" i="1"/>
  <c r="F10" i="14"/>
  <c r="B10" i="14"/>
  <c r="F26" i="14"/>
  <c r="J26" i="14"/>
  <c r="M26" i="14"/>
  <c r="G26" i="1"/>
  <c r="J5" i="14"/>
  <c r="M5" i="14"/>
  <c r="N22" i="14"/>
  <c r="G15" i="1"/>
  <c r="F15" i="1"/>
  <c r="I15" i="1"/>
  <c r="F11" i="14"/>
  <c r="E15" i="1"/>
  <c r="I3" i="14"/>
  <c r="B3" i="14"/>
  <c r="G13" i="1"/>
  <c r="F13" i="1"/>
  <c r="I13" i="1"/>
  <c r="E13" i="1"/>
  <c r="F9" i="14"/>
  <c r="E17" i="14"/>
  <c r="H17" i="14"/>
  <c r="B14" i="14"/>
  <c r="I14" i="14"/>
  <c r="B18" i="14"/>
  <c r="I18" i="14"/>
  <c r="G27" i="1"/>
  <c r="F27" i="1"/>
  <c r="I27" i="1"/>
  <c r="F23" i="14"/>
  <c r="E27" i="1"/>
  <c r="G11" i="1"/>
  <c r="F11" i="1"/>
  <c r="I11" i="1"/>
  <c r="F7" i="14"/>
  <c r="E11" i="1"/>
  <c r="E13" i="14"/>
  <c r="H13" i="14"/>
  <c r="I24" i="14"/>
  <c r="B24" i="14"/>
  <c r="J24" i="14"/>
  <c r="M24" i="14"/>
  <c r="B26" i="14"/>
  <c r="I26" i="14"/>
  <c r="G25" i="1"/>
  <c r="F25" i="1"/>
  <c r="F21" i="14"/>
  <c r="J21" i="14"/>
  <c r="M21" i="14"/>
  <c r="I25" i="1"/>
  <c r="E25" i="1"/>
  <c r="G17" i="1"/>
  <c r="F17" i="1"/>
  <c r="F13" i="14"/>
  <c r="J13" i="14"/>
  <c r="M13" i="14"/>
  <c r="I17" i="1"/>
  <c r="E17" i="1"/>
  <c r="J25" i="14"/>
  <c r="M25" i="14"/>
  <c r="E25" i="14"/>
  <c r="H25" i="14"/>
  <c r="B25" i="14"/>
  <c r="I25" i="14"/>
  <c r="J14" i="14"/>
  <c r="M14" i="14"/>
  <c r="J6" i="14"/>
  <c r="M6" i="14"/>
  <c r="E6" i="14"/>
  <c r="H6" i="14"/>
  <c r="E11" i="14"/>
  <c r="H11" i="14"/>
  <c r="I16" i="14"/>
  <c r="B16" i="14"/>
  <c r="J16" i="14"/>
  <c r="M16" i="14"/>
  <c r="G23" i="1"/>
  <c r="F23" i="1"/>
  <c r="I23" i="1"/>
  <c r="F19" i="14"/>
  <c r="E23" i="1"/>
  <c r="E21" i="14"/>
  <c r="H21" i="14"/>
  <c r="N12" i="14"/>
  <c r="N5" i="14"/>
  <c r="N26" i="14"/>
  <c r="E3" i="14"/>
  <c r="H3" i="14"/>
  <c r="J3" i="14"/>
  <c r="M3" i="14"/>
  <c r="G21" i="1"/>
  <c r="F21" i="1"/>
  <c r="F17" i="14"/>
  <c r="J17" i="14"/>
  <c r="M17" i="14"/>
  <c r="I21" i="1"/>
  <c r="E21" i="1"/>
  <c r="B22" i="14"/>
  <c r="I22" i="14"/>
  <c r="G19" i="1"/>
  <c r="F19" i="1"/>
  <c r="I19" i="1"/>
  <c r="F15" i="14"/>
  <c r="E19" i="1"/>
  <c r="J18" i="14"/>
  <c r="M18" i="14"/>
  <c r="B5" i="14"/>
  <c r="I5" i="14"/>
  <c r="I4" i="14"/>
  <c r="B4" i="14"/>
  <c r="J4" i="14"/>
  <c r="M4" i="14"/>
  <c r="N4" i="14"/>
  <c r="I10" i="14"/>
  <c r="I2" i="14"/>
  <c r="B2" i="14"/>
  <c r="J2" i="14"/>
  <c r="M2" i="14"/>
  <c r="N2" i="14"/>
  <c r="J20" i="14"/>
  <c r="M20" i="14"/>
  <c r="N20" i="14"/>
  <c r="I20" i="14"/>
  <c r="B20" i="14"/>
  <c r="J10" i="14"/>
  <c r="M10" i="14"/>
  <c r="N10" i="14"/>
  <c r="J8" i="14"/>
  <c r="M8" i="14"/>
  <c r="N8" i="14"/>
  <c r="I8" i="14"/>
  <c r="B8" i="14"/>
  <c r="N13" i="14"/>
  <c r="N17" i="14"/>
  <c r="I15" i="14"/>
  <c r="B15" i="14"/>
  <c r="J15" i="14"/>
  <c r="M15" i="14"/>
  <c r="N6" i="14"/>
  <c r="N14" i="14"/>
  <c r="I9" i="14"/>
  <c r="B9" i="14"/>
  <c r="J9" i="14"/>
  <c r="M9" i="14"/>
  <c r="B11" i="14"/>
  <c r="I11" i="14"/>
  <c r="J11" i="14"/>
  <c r="M11" i="14"/>
  <c r="N24" i="14"/>
  <c r="I19" i="14"/>
  <c r="B19" i="14"/>
  <c r="J19" i="14"/>
  <c r="M19" i="14"/>
  <c r="N25" i="14"/>
  <c r="B13" i="14"/>
  <c r="I13" i="14"/>
  <c r="I7" i="14"/>
  <c r="B7" i="14"/>
  <c r="J7" i="14"/>
  <c r="M7" i="14"/>
  <c r="B17" i="14"/>
  <c r="I17" i="14"/>
  <c r="N3" i="14"/>
  <c r="N21" i="14"/>
  <c r="N18" i="14"/>
  <c r="N16" i="14"/>
  <c r="B21" i="14"/>
  <c r="I21" i="14"/>
  <c r="I23" i="14"/>
  <c r="B23" i="14"/>
  <c r="J23" i="14"/>
  <c r="M23" i="14"/>
  <c r="N19" i="14"/>
  <c r="N23" i="14"/>
  <c r="N7" i="14"/>
  <c r="N11" i="14"/>
  <c r="N9" i="14"/>
  <c r="N15" i="14"/>
</calcChain>
</file>

<file path=xl/comments1.xml><?xml version="1.0" encoding="utf-8"?>
<comments xmlns="http://schemas.openxmlformats.org/spreadsheetml/2006/main">
  <authors>
    <author>Tony</author>
  </authors>
  <commentList>
    <comment ref="G27" authorId="0" shapeId="0">
      <text>
        <r>
          <rPr>
            <b/>
            <sz val="9"/>
            <color indexed="81"/>
            <rFont val="Tahoma"/>
            <family val="2"/>
          </rPr>
          <t>See Sketchbook entry dated 4/27/13 ISW=BuildID*sin(theta/2)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See Sketchbook entry dated 4/27/13 OSW=2(t*tan(theta/2)+h*sin(theta/2))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FlairLength=(L/4)/cos(φ) or h=a/cos(φ)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ID Max = BuildID + 2*AxialLength*tan(φ) rounded to nearest quarter inch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The next four dimensions are dependent on the joint between the staves.
Status = undecided</t>
        </r>
      </text>
    </comment>
  </commentList>
</comments>
</file>

<file path=xl/sharedStrings.xml><?xml version="1.0" encoding="utf-8"?>
<sst xmlns="http://schemas.openxmlformats.org/spreadsheetml/2006/main" count="171" uniqueCount="123">
  <si>
    <t>Key</t>
  </si>
  <si>
    <t>B</t>
  </si>
  <si>
    <t>A</t>
  </si>
  <si>
    <t>ID AR 24:1</t>
  </si>
  <si>
    <t xml:space="preserve">Build ID (in) </t>
  </si>
  <si>
    <t>Actual Aspect Ratio:</t>
  </si>
  <si>
    <t>A1</t>
  </si>
  <si>
    <t>B1</t>
  </si>
  <si>
    <t>A2</t>
  </si>
  <si>
    <t>A3</t>
  </si>
  <si>
    <t>B3</t>
  </si>
  <si>
    <t>B2</t>
  </si>
  <si>
    <t>ID AR 22:1</t>
  </si>
  <si>
    <t>ID AR 26:1</t>
  </si>
  <si>
    <t>Stencil</t>
  </si>
  <si>
    <t>Radial Arm Saw</t>
  </si>
  <si>
    <t>Drill Press</t>
  </si>
  <si>
    <t>Router</t>
  </si>
  <si>
    <t>45 Miter: A1-A3</t>
  </si>
  <si>
    <t>Dowel Bore w/ 9.5 degree Jig: B1-B3</t>
  </si>
  <si>
    <t>Dowel Bore into end grain: A1-A3</t>
  </si>
  <si>
    <t>Flute: A1-A3</t>
  </si>
  <si>
    <t>Xcut: Tops of A1-A3</t>
  </si>
  <si>
    <t>Xcut: Tops and Bottoms of B1-B3</t>
  </si>
  <si>
    <t>35.5 Miter: Tops of B1-B3</t>
  </si>
  <si>
    <t>1/4" Bit</t>
  </si>
  <si>
    <t>Right</t>
  </si>
  <si>
    <t>Top</t>
  </si>
  <si>
    <t>Tool</t>
  </si>
  <si>
    <t>Step</t>
  </si>
  <si>
    <t>Set Up</t>
  </si>
  <si>
    <t>Stave</t>
  </si>
  <si>
    <t>Face</t>
  </si>
  <si>
    <t>Pencil &amp; Tape Measure</t>
  </si>
  <si>
    <t>A &amp; B</t>
  </si>
  <si>
    <t>none</t>
  </si>
  <si>
    <t>30 degree bevel rip</t>
  </si>
  <si>
    <t>Rip: A1, A2, A3</t>
  </si>
  <si>
    <t>Right &amp; Left</t>
  </si>
  <si>
    <t>Rip: B1-B3</t>
  </si>
  <si>
    <t>90 degree Xcut</t>
  </si>
  <si>
    <t>Lengthwise Straight Edge Rip</t>
  </si>
  <si>
    <t>Conserve AMAP</t>
  </si>
  <si>
    <t>Number of Staves:</t>
  </si>
  <si>
    <t>\ A1 /</t>
  </si>
  <si>
    <t>/ A2 \</t>
  </si>
  <si>
    <t>\ A3 /</t>
  </si>
  <si>
    <t>/B1:B3\</t>
  </si>
  <si>
    <t>Glue Up:</t>
  </si>
  <si>
    <t>A2 - Finish Side Down</t>
  </si>
  <si>
    <t>B1:B3 - Finish Side Down</t>
  </si>
  <si>
    <t>Stencil Information</t>
  </si>
  <si>
    <t>Wood Type 1</t>
  </si>
  <si>
    <t>Wood Type 2</t>
  </si>
  <si>
    <t>Wood Type 1 ($/in^3)</t>
  </si>
  <si>
    <t>Wood Type 2 ($/in^3)</t>
  </si>
  <si>
    <t>Note: A2 &amp; B1:B3 are oriented with finish side down when looking at stenciled face of board.</t>
  </si>
  <si>
    <t>Stenciled on Endgrain</t>
  </si>
  <si>
    <t>Stenciled on Face</t>
  </si>
  <si>
    <t>Board Thickness (in):</t>
  </si>
  <si>
    <t>Saw Blade Kerf (in):</t>
  </si>
  <si>
    <t>Horizontal Kerf (in):</t>
  </si>
  <si>
    <t>Stave B Extra Length (in):</t>
  </si>
  <si>
    <t>Stave A Extra Length (in):</t>
  </si>
  <si>
    <t>Degree of Flare (φ):</t>
  </si>
  <si>
    <t>double check "0.75"?</t>
  </si>
  <si>
    <t>Nominal Diameter (in)</t>
  </si>
  <si>
    <t>Slant Length (in)</t>
  </si>
  <si>
    <t>Nominal Drone Length (in)</t>
  </si>
  <si>
    <t>Nominal Total Length (in)</t>
  </si>
  <si>
    <t>R - Circumradius (in)</t>
  </si>
  <si>
    <t>r - Inradius (in)</t>
  </si>
  <si>
    <t>Stave Bevel (180/n):</t>
  </si>
  <si>
    <t>ISWA - Inner Stave Width (in)</t>
  </si>
  <si>
    <t>OSWA - Outer Stave Width (in)</t>
  </si>
  <si>
    <t>Speed of Sound (m/s)</t>
  </si>
  <si>
    <t>Build Length (in)</t>
  </si>
  <si>
    <t>Frequency (Hz)</t>
  </si>
  <si>
    <t>Temperature (°C)</t>
  </si>
  <si>
    <t>Wavelength (in)</t>
  </si>
  <si>
    <t>X Factor</t>
  </si>
  <si>
    <t>Screw the work above, just send it to a CNC Shop</t>
  </si>
  <si>
    <t>http://www.thiedewoodworks.com/</t>
  </si>
  <si>
    <t>Sheet Size</t>
  </si>
  <si>
    <t>Price/Sheet</t>
  </si>
  <si>
    <t>Length</t>
  </si>
  <si>
    <t>Width</t>
  </si>
  <si>
    <t>Price per square foot</t>
  </si>
  <si>
    <t>BCR - Base Circum-Radius (in)</t>
  </si>
  <si>
    <t>JISW - Min Inner Width (in)</t>
  </si>
  <si>
    <t>JOSW - Min Outer Width (in)</t>
  </si>
  <si>
    <t>BISW - Max Inner Width (in)</t>
  </si>
  <si>
    <t>BOSW - Max Outer Width (in)</t>
  </si>
  <si>
    <t>Flare to Drone Ratio:</t>
  </si>
  <si>
    <t>Bevel Angle:</t>
  </si>
  <si>
    <t>Crosscut Angle:</t>
  </si>
  <si>
    <t>01. C3</t>
  </si>
  <si>
    <t>02. B2</t>
  </si>
  <si>
    <t>03. A2#</t>
  </si>
  <si>
    <t>04. A2</t>
  </si>
  <si>
    <t>05. G2#</t>
  </si>
  <si>
    <t>06. G2</t>
  </si>
  <si>
    <t>07. F2#</t>
  </si>
  <si>
    <t>08. F2</t>
  </si>
  <si>
    <t>09. E2</t>
  </si>
  <si>
    <t>10. D2#</t>
  </si>
  <si>
    <t>11. D2</t>
  </si>
  <si>
    <t>12. C2#</t>
  </si>
  <si>
    <t>13. C2</t>
  </si>
  <si>
    <t>14. B1</t>
  </si>
  <si>
    <t>15. A1#</t>
  </si>
  <si>
    <t>16. A1</t>
  </si>
  <si>
    <t>17. G1#</t>
  </si>
  <si>
    <t>18. G1</t>
  </si>
  <si>
    <t>19. F1#</t>
  </si>
  <si>
    <t>20. F1</t>
  </si>
  <si>
    <t>21. E1</t>
  </si>
  <si>
    <t>22. D1#</t>
  </si>
  <si>
    <t>23. D1</t>
  </si>
  <si>
    <t>24. C1#</t>
  </si>
  <si>
    <t>25. C1</t>
  </si>
  <si>
    <t>Bevel Compliment:</t>
  </si>
  <si>
    <t>Dado Depth (in):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</si>
</sst>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&quot;$&quot;#,##0.00"/>
    <numFmt numFmtId="165" formatCode="0.000"/>
    <numFmt numFmtId="166" formatCode="0.0000"/>
    <numFmt numFmtId="167" formatCode="_(&quot;$&quot;* #,##0.000_);_(&quot;$&quot;* \(#,##0.0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4ED2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Border="1"/>
    <xf numFmtId="2" fontId="0" fillId="0" borderId="0" xfId="0" applyNumberFormat="1" applyBorder="1"/>
    <xf numFmtId="0" fontId="1" fillId="0" borderId="0" xfId="0" applyFont="1" applyAlignment="1">
      <alignment horizontal="center"/>
    </xf>
    <xf numFmtId="0" fontId="0" fillId="2" borderId="0" xfId="0" applyFill="1" applyBorder="1"/>
    <xf numFmtId="0" fontId="0" fillId="5" borderId="1" xfId="0" applyFill="1" applyBorder="1"/>
    <xf numFmtId="2" fontId="0" fillId="2" borderId="0" xfId="0" applyNumberFormat="1" applyFill="1" applyBorder="1" applyAlignment="1">
      <alignment horizontal="center"/>
    </xf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Border="1" applyAlignment="1"/>
    <xf numFmtId="0" fontId="0" fillId="0" borderId="0" xfId="0" applyBorder="1" applyAlignment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/>
    <xf numFmtId="2" fontId="0" fillId="0" borderId="0" xfId="0" applyNumberFormat="1" applyFont="1" applyBorder="1"/>
    <xf numFmtId="2" fontId="1" fillId="0" borderId="0" xfId="0" applyNumberFormat="1" applyFont="1" applyBorder="1"/>
    <xf numFmtId="0" fontId="1" fillId="3" borderId="0" xfId="0" applyFont="1" applyFill="1" applyBorder="1"/>
    <xf numFmtId="2" fontId="0" fillId="0" borderId="0" xfId="0" applyNumberFormat="1" applyFont="1" applyFill="1" applyBorder="1"/>
    <xf numFmtId="165" fontId="0" fillId="0" borderId="0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" fontId="0" fillId="0" borderId="0" xfId="0" applyNumberFormat="1" applyBorder="1" applyAlignment="1">
      <alignment horizontal="right"/>
    </xf>
    <xf numFmtId="12" fontId="0" fillId="0" borderId="0" xfId="0" applyNumberFormat="1" applyBorder="1"/>
    <xf numFmtId="167" fontId="0" fillId="0" borderId="0" xfId="1" applyNumberFormat="1" applyFont="1" applyBorder="1" applyAlignment="1">
      <alignment horizontal="right"/>
    </xf>
    <xf numFmtId="0" fontId="0" fillId="2" borderId="0" xfId="0" applyFont="1" applyFill="1" applyBorder="1"/>
    <xf numFmtId="2" fontId="0" fillId="2" borderId="0" xfId="0" applyNumberFormat="1" applyFill="1" applyBorder="1"/>
    <xf numFmtId="165" fontId="0" fillId="2" borderId="0" xfId="0" applyNumberFormat="1" applyFill="1" applyBorder="1"/>
    <xf numFmtId="164" fontId="0" fillId="0" borderId="0" xfId="0" applyNumberFormat="1" applyBorder="1"/>
    <xf numFmtId="2" fontId="0" fillId="0" borderId="0" xfId="0" applyNumberFormat="1" applyBorder="1" applyAlignment="1"/>
    <xf numFmtId="0" fontId="1" fillId="0" borderId="1" xfId="0" applyFont="1" applyBorder="1" applyAlignment="1">
      <alignment horizontal="center"/>
    </xf>
    <xf numFmtId="2" fontId="0" fillId="4" borderId="1" xfId="0" applyNumberFormat="1" applyFill="1" applyBorder="1"/>
    <xf numFmtId="2" fontId="0" fillId="5" borderId="1" xfId="0" applyNumberFormat="1" applyFill="1" applyBorder="1"/>
    <xf numFmtId="2" fontId="0" fillId="4" borderId="1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4" fontId="0" fillId="0" borderId="0" xfId="0" applyNumberFormat="1"/>
    <xf numFmtId="0" fontId="7" fillId="0" borderId="0" xfId="2"/>
    <xf numFmtId="0" fontId="1" fillId="0" borderId="0" xfId="0" applyFont="1"/>
    <xf numFmtId="165" fontId="0" fillId="0" borderId="0" xfId="0" applyNumberFormat="1" applyBorder="1"/>
    <xf numFmtId="2" fontId="1" fillId="3" borderId="1" xfId="0" applyNumberFormat="1" applyFont="1" applyFill="1" applyBorder="1" applyAlignment="1">
      <alignment horizontal="left"/>
    </xf>
    <xf numFmtId="2" fontId="0" fillId="2" borderId="1" xfId="0" applyNumberFormat="1" applyFill="1" applyBorder="1"/>
    <xf numFmtId="165" fontId="0" fillId="2" borderId="1" xfId="0" applyNumberFormat="1" applyFill="1" applyBorder="1"/>
    <xf numFmtId="0" fontId="1" fillId="2" borderId="1" xfId="0" applyFont="1" applyFill="1" applyBorder="1" applyAlignment="1">
      <alignment textRotation="45"/>
    </xf>
    <xf numFmtId="0" fontId="1" fillId="0" borderId="0" xfId="0" applyFont="1" applyAlignment="1">
      <alignment horizontal="right"/>
    </xf>
    <xf numFmtId="0" fontId="1" fillId="7" borderId="1" xfId="0" applyFont="1" applyFill="1" applyBorder="1" applyAlignment="1">
      <alignment textRotation="45"/>
    </xf>
    <xf numFmtId="0" fontId="1" fillId="6" borderId="1" xfId="0" applyFont="1" applyFill="1" applyBorder="1" applyAlignment="1">
      <alignment textRotation="45"/>
    </xf>
    <xf numFmtId="2" fontId="1" fillId="0" borderId="0" xfId="0" applyNumberFormat="1" applyFont="1" applyFill="1" applyBorder="1" applyAlignment="1">
      <alignment horizontal="right"/>
    </xf>
    <xf numFmtId="165" fontId="0" fillId="0" borderId="0" xfId="0" applyNumberFormat="1"/>
    <xf numFmtId="2" fontId="4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2" fontId="1" fillId="0" borderId="0" xfId="0" applyNumberFormat="1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4ED25B"/>
      <color rgb="FF66CCFF"/>
      <color rgb="FFFF99FF"/>
      <color rgb="FFCC66FF"/>
      <color rgb="FFFF6600"/>
      <color rgb="FFFF9966"/>
      <color rgb="FFCC9900"/>
      <color rgb="FF66FF66"/>
      <color rgb="FF9966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Didgeridoo Diameters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119142323704"/>
          <c:y val="0.20964106399628801"/>
          <c:w val="0.74562391041326004"/>
          <c:h val="0.61303859445010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'Aspect Ratios'!$E$5</c:f>
              <c:strCache>
                <c:ptCount val="1"/>
                <c:pt idx="0">
                  <c:v>ID AR 26:1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'Aspect Ratios'!$A$6:$A$30</c:f>
              <c:strCache>
                <c:ptCount val="25"/>
                <c:pt idx="0">
                  <c:v>01. C3</c:v>
                </c:pt>
                <c:pt idx="1">
                  <c:v>02. B2</c:v>
                </c:pt>
                <c:pt idx="2">
                  <c:v>03. A2#</c:v>
                </c:pt>
                <c:pt idx="3">
                  <c:v>04. A2</c:v>
                </c:pt>
                <c:pt idx="4">
                  <c:v>05. G2#</c:v>
                </c:pt>
                <c:pt idx="5">
                  <c:v>06. G2</c:v>
                </c:pt>
                <c:pt idx="6">
                  <c:v>07. F2#</c:v>
                </c:pt>
                <c:pt idx="7">
                  <c:v>08. F2</c:v>
                </c:pt>
                <c:pt idx="8">
                  <c:v>09. E2</c:v>
                </c:pt>
                <c:pt idx="9">
                  <c:v>10. D2#</c:v>
                </c:pt>
                <c:pt idx="10">
                  <c:v>11. D2</c:v>
                </c:pt>
                <c:pt idx="11">
                  <c:v>12. C2#</c:v>
                </c:pt>
                <c:pt idx="12">
                  <c:v>13. C2</c:v>
                </c:pt>
                <c:pt idx="13">
                  <c:v>14. B1</c:v>
                </c:pt>
                <c:pt idx="14">
                  <c:v>15. A1#</c:v>
                </c:pt>
                <c:pt idx="15">
                  <c:v>16. A1</c:v>
                </c:pt>
                <c:pt idx="16">
                  <c:v>17. G1#</c:v>
                </c:pt>
                <c:pt idx="17">
                  <c:v>18. G1</c:v>
                </c:pt>
                <c:pt idx="18">
                  <c:v>19. F1#</c:v>
                </c:pt>
                <c:pt idx="19">
                  <c:v>20. F1</c:v>
                </c:pt>
                <c:pt idx="20">
                  <c:v>21. E1</c:v>
                </c:pt>
                <c:pt idx="21">
                  <c:v>22. D1#</c:v>
                </c:pt>
                <c:pt idx="22">
                  <c:v>23. D1</c:v>
                </c:pt>
                <c:pt idx="23">
                  <c:v>24. C1#</c:v>
                </c:pt>
                <c:pt idx="24">
                  <c:v>25. C1</c:v>
                </c:pt>
              </c:strCache>
            </c:strRef>
          </c:cat>
          <c:val>
            <c:numRef>
              <c:f>'Aspect Ratios'!$E$6:$E$30</c:f>
              <c:numCache>
                <c:formatCode>0.00</c:formatCode>
                <c:ptCount val="25"/>
                <c:pt idx="0">
                  <c:v>1.0383048857023778</c:v>
                </c:pt>
                <c:pt idx="1">
                  <c:v>1.0991722419544234</c:v>
                </c:pt>
                <c:pt idx="2">
                  <c:v>1.1626910759493145</c:v>
                </c:pt>
                <c:pt idx="3">
                  <c:v>1.2320047078905345</c:v>
                </c:pt>
                <c:pt idx="4">
                  <c:v>1.3073672126931706</c:v>
                </c:pt>
                <c:pt idx="5">
                  <c:v>1.3839809515568797</c:v>
                </c:pt>
                <c:pt idx="6">
                  <c:v>1.4652426048095342</c:v>
                </c:pt>
                <c:pt idx="7">
                  <c:v>1.5513127250235368</c:v>
                </c:pt>
                <c:pt idx="8">
                  <c:v>1.6454074442827744</c:v>
                </c:pt>
                <c:pt idx="9">
                  <c:v>1.7421514155146316</c:v>
                </c:pt>
                <c:pt idx="10">
                  <c:v>1.8444088618522145</c:v>
                </c:pt>
                <c:pt idx="11">
                  <c:v>1.9557461785808243</c:v>
                </c:pt>
                <c:pt idx="12">
                  <c:v>2.07099709748702</c:v>
                </c:pt>
                <c:pt idx="13">
                  <c:v>2.1923995568057921</c:v>
                </c:pt>
                <c:pt idx="14">
                  <c:v>2.3244681354483299</c:v>
                </c:pt>
                <c:pt idx="15">
                  <c:v>2.4611248003964539</c:v>
                </c:pt>
                <c:pt idx="16">
                  <c:v>2.6060805792324948</c:v>
                </c:pt>
                <c:pt idx="17">
                  <c:v>2.7593080569599127</c:v>
                </c:pt>
                <c:pt idx="18">
                  <c:v>2.9218313634652215</c:v>
                </c:pt>
                <c:pt idx="19">
                  <c:v>3.0965048667737847</c:v>
                </c:pt>
                <c:pt idx="20">
                  <c:v>3.2796708967204342</c:v>
                </c:pt>
                <c:pt idx="21">
                  <c:v>3.4727643694908017</c:v>
                </c:pt>
                <c:pt idx="22">
                  <c:v>3.6772792621659676</c:v>
                </c:pt>
                <c:pt idx="23">
                  <c:v>3.8941846648539564</c:v>
                </c:pt>
                <c:pt idx="24">
                  <c:v>4.1246865026663482</c:v>
                </c:pt>
              </c:numCache>
            </c:numRef>
          </c:val>
        </c:ser>
        <c:ser>
          <c:idx val="1"/>
          <c:order val="1"/>
          <c:tx>
            <c:strRef>
              <c:f>'Aspect Ratios'!$F$5</c:f>
              <c:strCache>
                <c:ptCount val="1"/>
                <c:pt idx="0">
                  <c:v>ID AR 24:1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'Aspect Ratios'!$A$6:$A$30</c:f>
              <c:strCache>
                <c:ptCount val="25"/>
                <c:pt idx="0">
                  <c:v>01. C3</c:v>
                </c:pt>
                <c:pt idx="1">
                  <c:v>02. B2</c:v>
                </c:pt>
                <c:pt idx="2">
                  <c:v>03. A2#</c:v>
                </c:pt>
                <c:pt idx="3">
                  <c:v>04. A2</c:v>
                </c:pt>
                <c:pt idx="4">
                  <c:v>05. G2#</c:v>
                </c:pt>
                <c:pt idx="5">
                  <c:v>06. G2</c:v>
                </c:pt>
                <c:pt idx="6">
                  <c:v>07. F2#</c:v>
                </c:pt>
                <c:pt idx="7">
                  <c:v>08. F2</c:v>
                </c:pt>
                <c:pt idx="8">
                  <c:v>09. E2</c:v>
                </c:pt>
                <c:pt idx="9">
                  <c:v>10. D2#</c:v>
                </c:pt>
                <c:pt idx="10">
                  <c:v>11. D2</c:v>
                </c:pt>
                <c:pt idx="11">
                  <c:v>12. C2#</c:v>
                </c:pt>
                <c:pt idx="12">
                  <c:v>13. C2</c:v>
                </c:pt>
                <c:pt idx="13">
                  <c:v>14. B1</c:v>
                </c:pt>
                <c:pt idx="14">
                  <c:v>15. A1#</c:v>
                </c:pt>
                <c:pt idx="15">
                  <c:v>16. A1</c:v>
                </c:pt>
                <c:pt idx="16">
                  <c:v>17. G1#</c:v>
                </c:pt>
                <c:pt idx="17">
                  <c:v>18. G1</c:v>
                </c:pt>
                <c:pt idx="18">
                  <c:v>19. F1#</c:v>
                </c:pt>
                <c:pt idx="19">
                  <c:v>20. F1</c:v>
                </c:pt>
                <c:pt idx="20">
                  <c:v>21. E1</c:v>
                </c:pt>
                <c:pt idx="21">
                  <c:v>22. D1#</c:v>
                </c:pt>
                <c:pt idx="22">
                  <c:v>23. D1</c:v>
                </c:pt>
                <c:pt idx="23">
                  <c:v>24. C1#</c:v>
                </c:pt>
                <c:pt idx="24">
                  <c:v>25. C1</c:v>
                </c:pt>
              </c:strCache>
            </c:strRef>
          </c:cat>
          <c:val>
            <c:numRef>
              <c:f>'Aspect Ratios'!$F$6:$F$30</c:f>
              <c:numCache>
                <c:formatCode>0.00</c:formatCode>
                <c:ptCount val="25"/>
                <c:pt idx="0">
                  <c:v>1.1248302928442426</c:v>
                </c:pt>
                <c:pt idx="1">
                  <c:v>1.1907699287839588</c:v>
                </c:pt>
                <c:pt idx="2">
                  <c:v>1.2595819989450907</c:v>
                </c:pt>
                <c:pt idx="3">
                  <c:v>1.3346717668814125</c:v>
                </c:pt>
                <c:pt idx="4">
                  <c:v>1.4163144804176016</c:v>
                </c:pt>
                <c:pt idx="5">
                  <c:v>1.4993126975199529</c:v>
                </c:pt>
                <c:pt idx="6">
                  <c:v>1.5873461552103285</c:v>
                </c:pt>
                <c:pt idx="7">
                  <c:v>1.6805887854421648</c:v>
                </c:pt>
                <c:pt idx="8">
                  <c:v>1.7825247313063388</c:v>
                </c:pt>
                <c:pt idx="9">
                  <c:v>1.8873307001408508</c:v>
                </c:pt>
                <c:pt idx="10">
                  <c:v>1.998109600339899</c:v>
                </c:pt>
                <c:pt idx="11">
                  <c:v>2.118725026795893</c:v>
                </c:pt>
                <c:pt idx="12">
                  <c:v>2.2435801889442719</c:v>
                </c:pt>
                <c:pt idx="13">
                  <c:v>2.3750995198729412</c:v>
                </c:pt>
                <c:pt idx="14">
                  <c:v>2.5181738134023575</c:v>
                </c:pt>
                <c:pt idx="15">
                  <c:v>2.6662185337628248</c:v>
                </c:pt>
                <c:pt idx="16">
                  <c:v>2.8232539608352027</c:v>
                </c:pt>
                <c:pt idx="17">
                  <c:v>2.9892503950399054</c:v>
                </c:pt>
                <c:pt idx="18">
                  <c:v>3.1653173104206567</c:v>
                </c:pt>
                <c:pt idx="19">
                  <c:v>3.3545469390049334</c:v>
                </c:pt>
                <c:pt idx="20">
                  <c:v>3.5529768047804704</c:v>
                </c:pt>
                <c:pt idx="21">
                  <c:v>3.7621614002817019</c:v>
                </c:pt>
                <c:pt idx="22">
                  <c:v>3.9837192006797983</c:v>
                </c:pt>
                <c:pt idx="23">
                  <c:v>4.2187000535917862</c:v>
                </c:pt>
                <c:pt idx="24">
                  <c:v>4.4684103778885431</c:v>
                </c:pt>
              </c:numCache>
            </c:numRef>
          </c:val>
        </c:ser>
        <c:ser>
          <c:idx val="2"/>
          <c:order val="2"/>
          <c:tx>
            <c:strRef>
              <c:f>'Aspect Ratios'!$G$5</c:f>
              <c:strCache>
                <c:ptCount val="1"/>
                <c:pt idx="0">
                  <c:v>ID AR 22:1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'Aspect Ratios'!$A$6:$A$30</c:f>
              <c:strCache>
                <c:ptCount val="25"/>
                <c:pt idx="0">
                  <c:v>01. C3</c:v>
                </c:pt>
                <c:pt idx="1">
                  <c:v>02. B2</c:v>
                </c:pt>
                <c:pt idx="2">
                  <c:v>03. A2#</c:v>
                </c:pt>
                <c:pt idx="3">
                  <c:v>04. A2</c:v>
                </c:pt>
                <c:pt idx="4">
                  <c:v>05. G2#</c:v>
                </c:pt>
                <c:pt idx="5">
                  <c:v>06. G2</c:v>
                </c:pt>
                <c:pt idx="6">
                  <c:v>07. F2#</c:v>
                </c:pt>
                <c:pt idx="7">
                  <c:v>08. F2</c:v>
                </c:pt>
                <c:pt idx="8">
                  <c:v>09. E2</c:v>
                </c:pt>
                <c:pt idx="9">
                  <c:v>10. D2#</c:v>
                </c:pt>
                <c:pt idx="10">
                  <c:v>11. D2</c:v>
                </c:pt>
                <c:pt idx="11">
                  <c:v>12. C2#</c:v>
                </c:pt>
                <c:pt idx="12">
                  <c:v>13. C2</c:v>
                </c:pt>
                <c:pt idx="13">
                  <c:v>14. B1</c:v>
                </c:pt>
                <c:pt idx="14">
                  <c:v>15. A1#</c:v>
                </c:pt>
                <c:pt idx="15">
                  <c:v>16. A1</c:v>
                </c:pt>
                <c:pt idx="16">
                  <c:v>17. G1#</c:v>
                </c:pt>
                <c:pt idx="17">
                  <c:v>18. G1</c:v>
                </c:pt>
                <c:pt idx="18">
                  <c:v>19. F1#</c:v>
                </c:pt>
                <c:pt idx="19">
                  <c:v>20. F1</c:v>
                </c:pt>
                <c:pt idx="20">
                  <c:v>21. E1</c:v>
                </c:pt>
                <c:pt idx="21">
                  <c:v>22. D1#</c:v>
                </c:pt>
                <c:pt idx="22">
                  <c:v>23. D1</c:v>
                </c:pt>
                <c:pt idx="23">
                  <c:v>24. C1#</c:v>
                </c:pt>
                <c:pt idx="24">
                  <c:v>25. C1</c:v>
                </c:pt>
              </c:strCache>
            </c:strRef>
          </c:cat>
          <c:val>
            <c:numRef>
              <c:f>'Aspect Ratios'!$G$6:$G$30</c:f>
              <c:numCache>
                <c:formatCode>0.00</c:formatCode>
                <c:ptCount val="25"/>
                <c:pt idx="0">
                  <c:v>1.2270875921937192</c:v>
                </c:pt>
                <c:pt idx="1">
                  <c:v>1.2990217404915914</c:v>
                </c:pt>
                <c:pt idx="2">
                  <c:v>1.3740894533946444</c:v>
                </c:pt>
                <c:pt idx="3">
                  <c:v>1.4560055638706317</c:v>
                </c:pt>
                <c:pt idx="4">
                  <c:v>1.5450703422737471</c:v>
                </c:pt>
                <c:pt idx="5">
                  <c:v>1.6356138518399488</c:v>
                </c:pt>
                <c:pt idx="6">
                  <c:v>1.7316503511385404</c:v>
                </c:pt>
                <c:pt idx="7">
                  <c:v>1.8333695841187252</c:v>
                </c:pt>
                <c:pt idx="8">
                  <c:v>1.9445724341523698</c:v>
                </c:pt>
                <c:pt idx="9">
                  <c:v>2.0589062183354736</c:v>
                </c:pt>
                <c:pt idx="10">
                  <c:v>2.1797559276435261</c:v>
                </c:pt>
                <c:pt idx="11">
                  <c:v>2.3113363928682471</c:v>
                </c:pt>
                <c:pt idx="12">
                  <c:v>2.4475420243028418</c:v>
                </c:pt>
                <c:pt idx="13">
                  <c:v>2.5910176580432087</c:v>
                </c:pt>
                <c:pt idx="14">
                  <c:v>2.7470987055298441</c:v>
                </c:pt>
                <c:pt idx="15">
                  <c:v>2.9086020368321726</c:v>
                </c:pt>
                <c:pt idx="16">
                  <c:v>3.0799134118202214</c:v>
                </c:pt>
                <c:pt idx="17">
                  <c:v>3.2610004309526244</c:v>
                </c:pt>
                <c:pt idx="18">
                  <c:v>3.4530734295498076</c:v>
                </c:pt>
                <c:pt idx="19">
                  <c:v>3.6595057516417455</c:v>
                </c:pt>
                <c:pt idx="20">
                  <c:v>3.8759746961241492</c:v>
                </c:pt>
                <c:pt idx="21">
                  <c:v>4.1041760730345835</c:v>
                </c:pt>
                <c:pt idx="22">
                  <c:v>4.3458754916506885</c:v>
                </c:pt>
                <c:pt idx="23">
                  <c:v>4.6022182402819487</c:v>
                </c:pt>
                <c:pt idx="24">
                  <c:v>4.8746295031511382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6317032"/>
        <c:axId val="326588032"/>
      </c:barChart>
      <c:scatterChart>
        <c:scatterStyle val="lineMarker"/>
        <c:varyColors val="0"/>
        <c:ser>
          <c:idx val="3"/>
          <c:order val="3"/>
          <c:tx>
            <c:strRef>
              <c:f>'Aspect Ratios'!$H$5</c:f>
              <c:strCache>
                <c:ptCount val="1"/>
                <c:pt idx="0">
                  <c:v>Build ID (in)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'Aspect Ratios'!$A$6:$A$30</c:f>
              <c:strCache>
                <c:ptCount val="25"/>
                <c:pt idx="0">
                  <c:v>01. C3</c:v>
                </c:pt>
                <c:pt idx="1">
                  <c:v>02. B2</c:v>
                </c:pt>
                <c:pt idx="2">
                  <c:v>03. A2#</c:v>
                </c:pt>
                <c:pt idx="3">
                  <c:v>04. A2</c:v>
                </c:pt>
                <c:pt idx="4">
                  <c:v>05. G2#</c:v>
                </c:pt>
                <c:pt idx="5">
                  <c:v>06. G2</c:v>
                </c:pt>
                <c:pt idx="6">
                  <c:v>07. F2#</c:v>
                </c:pt>
                <c:pt idx="7">
                  <c:v>08. F2</c:v>
                </c:pt>
                <c:pt idx="8">
                  <c:v>09. E2</c:v>
                </c:pt>
                <c:pt idx="9">
                  <c:v>10. D2#</c:v>
                </c:pt>
                <c:pt idx="10">
                  <c:v>11. D2</c:v>
                </c:pt>
                <c:pt idx="11">
                  <c:v>12. C2#</c:v>
                </c:pt>
                <c:pt idx="12">
                  <c:v>13. C2</c:v>
                </c:pt>
                <c:pt idx="13">
                  <c:v>14. B1</c:v>
                </c:pt>
                <c:pt idx="14">
                  <c:v>15. A1#</c:v>
                </c:pt>
                <c:pt idx="15">
                  <c:v>16. A1</c:v>
                </c:pt>
                <c:pt idx="16">
                  <c:v>17. G1#</c:v>
                </c:pt>
                <c:pt idx="17">
                  <c:v>18. G1</c:v>
                </c:pt>
                <c:pt idx="18">
                  <c:v>19. F1#</c:v>
                </c:pt>
                <c:pt idx="19">
                  <c:v>20. F1</c:v>
                </c:pt>
                <c:pt idx="20">
                  <c:v>21. E1</c:v>
                </c:pt>
                <c:pt idx="21">
                  <c:v>22. D1#</c:v>
                </c:pt>
                <c:pt idx="22">
                  <c:v>23. D1</c:v>
                </c:pt>
                <c:pt idx="23">
                  <c:v>24. C1#</c:v>
                </c:pt>
                <c:pt idx="24">
                  <c:v>25. C1</c:v>
                </c:pt>
              </c:strCache>
            </c:strRef>
          </c:xVal>
          <c:yVal>
            <c:numRef>
              <c:f>'Aspect Ratios'!$H$6:$H$30</c:f>
              <c:numCache>
                <c:formatCode>0.00</c:formatCode>
                <c:ptCount val="25"/>
                <c:pt idx="0">
                  <c:v>1.25</c:v>
                </c:pt>
                <c:pt idx="1">
                  <c:v>1.25</c:v>
                </c:pt>
                <c:pt idx="2">
                  <c:v>1.25</c:v>
                </c:pt>
                <c:pt idx="3">
                  <c:v>1.25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1.75</c:v>
                </c:pt>
                <c:pt idx="9">
                  <c:v>1.75</c:v>
                </c:pt>
                <c:pt idx="10">
                  <c:v>1.75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2.25</c:v>
                </c:pt>
                <c:pt idx="15">
                  <c:v>2.25</c:v>
                </c:pt>
                <c:pt idx="16">
                  <c:v>2.25</c:v>
                </c:pt>
                <c:pt idx="17">
                  <c:v>2.25</c:v>
                </c:pt>
                <c:pt idx="18">
                  <c:v>2.25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'Aspect Ratios'!$I$5</c:f>
              <c:strCache>
                <c:ptCount val="1"/>
                <c:pt idx="0">
                  <c:v>Actual Aspect Ratio: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'Aspect Ratios'!$A$6:$A$30</c:f>
              <c:strCache>
                <c:ptCount val="25"/>
                <c:pt idx="0">
                  <c:v>01. C3</c:v>
                </c:pt>
                <c:pt idx="1">
                  <c:v>02. B2</c:v>
                </c:pt>
                <c:pt idx="2">
                  <c:v>03. A2#</c:v>
                </c:pt>
                <c:pt idx="3">
                  <c:v>04. A2</c:v>
                </c:pt>
                <c:pt idx="4">
                  <c:v>05. G2#</c:v>
                </c:pt>
                <c:pt idx="5">
                  <c:v>06. G2</c:v>
                </c:pt>
                <c:pt idx="6">
                  <c:v>07. F2#</c:v>
                </c:pt>
                <c:pt idx="7">
                  <c:v>08. F2</c:v>
                </c:pt>
                <c:pt idx="8">
                  <c:v>09. E2</c:v>
                </c:pt>
                <c:pt idx="9">
                  <c:v>10. D2#</c:v>
                </c:pt>
                <c:pt idx="10">
                  <c:v>11. D2</c:v>
                </c:pt>
                <c:pt idx="11">
                  <c:v>12. C2#</c:v>
                </c:pt>
                <c:pt idx="12">
                  <c:v>13. C2</c:v>
                </c:pt>
                <c:pt idx="13">
                  <c:v>14. B1</c:v>
                </c:pt>
                <c:pt idx="14">
                  <c:v>15. A1#</c:v>
                </c:pt>
                <c:pt idx="15">
                  <c:v>16. A1</c:v>
                </c:pt>
                <c:pt idx="16">
                  <c:v>17. G1#</c:v>
                </c:pt>
                <c:pt idx="17">
                  <c:v>18. G1</c:v>
                </c:pt>
                <c:pt idx="18">
                  <c:v>19. F1#</c:v>
                </c:pt>
                <c:pt idx="19">
                  <c:v>20. F1</c:v>
                </c:pt>
                <c:pt idx="20">
                  <c:v>21. E1</c:v>
                </c:pt>
                <c:pt idx="21">
                  <c:v>22. D1#</c:v>
                </c:pt>
                <c:pt idx="22">
                  <c:v>23. D1</c:v>
                </c:pt>
                <c:pt idx="23">
                  <c:v>24. C1#</c:v>
                </c:pt>
                <c:pt idx="24">
                  <c:v>25. C1</c:v>
                </c:pt>
              </c:strCache>
            </c:strRef>
          </c:xVal>
          <c:yVal>
            <c:numRef>
              <c:f>'Aspect Ratios'!$I$6:$I$30</c:f>
              <c:numCache>
                <c:formatCode>0.00</c:formatCode>
                <c:ptCount val="25"/>
                <c:pt idx="0">
                  <c:v>21.596741622609457</c:v>
                </c:pt>
                <c:pt idx="1">
                  <c:v>22.862782632652006</c:v>
                </c:pt>
                <c:pt idx="2">
                  <c:v>24.183974379745742</c:v>
                </c:pt>
                <c:pt idx="3">
                  <c:v>25.62569792412312</c:v>
                </c:pt>
                <c:pt idx="4">
                  <c:v>22.661031686681625</c:v>
                </c:pt>
                <c:pt idx="5">
                  <c:v>23.989003160319246</c:v>
                </c:pt>
                <c:pt idx="6">
                  <c:v>25.397538483365256</c:v>
                </c:pt>
                <c:pt idx="7">
                  <c:v>26.889420567074637</c:v>
                </c:pt>
                <c:pt idx="8">
                  <c:v>24.446053457915504</c:v>
                </c:pt>
                <c:pt idx="9">
                  <c:v>25.883392459074525</c:v>
                </c:pt>
                <c:pt idx="10">
                  <c:v>27.402645947518614</c:v>
                </c:pt>
                <c:pt idx="11">
                  <c:v>25.424700321550716</c:v>
                </c:pt>
                <c:pt idx="12">
                  <c:v>26.922962267331261</c:v>
                </c:pt>
                <c:pt idx="13">
                  <c:v>28.501194238475296</c:v>
                </c:pt>
                <c:pt idx="14">
                  <c:v>26.860520676291813</c:v>
                </c:pt>
                <c:pt idx="15">
                  <c:v>28.439664360136799</c:v>
                </c:pt>
                <c:pt idx="16">
                  <c:v>30.114708915575495</c:v>
                </c:pt>
                <c:pt idx="17">
                  <c:v>31.885337547092327</c:v>
                </c:pt>
                <c:pt idx="18">
                  <c:v>33.763384644487004</c:v>
                </c:pt>
                <c:pt idx="19">
                  <c:v>32.203650614447362</c:v>
                </c:pt>
                <c:pt idx="20">
                  <c:v>34.108577325892512</c:v>
                </c:pt>
                <c:pt idx="21">
                  <c:v>36.116749442704339</c:v>
                </c:pt>
                <c:pt idx="22">
                  <c:v>38.243704326526064</c:v>
                </c:pt>
                <c:pt idx="23">
                  <c:v>40.499520514481148</c:v>
                </c:pt>
                <c:pt idx="24">
                  <c:v>42.896739627730014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317032"/>
        <c:axId val="326588032"/>
      </c:scatterChart>
      <c:catAx>
        <c:axId val="256317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Didgeridoo Key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88032"/>
        <c:crosses val="autoZero"/>
        <c:auto val="1"/>
        <c:lblAlgn val="ctr"/>
        <c:lblOffset val="100"/>
        <c:noMultiLvlLbl val="0"/>
      </c:catAx>
      <c:valAx>
        <c:axId val="326588032"/>
        <c:scaling>
          <c:orientation val="minMax"/>
          <c:max val="3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 (in)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317032"/>
        <c:crosses val="autoZero"/>
        <c:crossBetween val="between"/>
        <c:majorUnit val="0.25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85725</xdr:rowOff>
    </xdr:from>
    <xdr:to>
      <xdr:col>11</xdr:col>
      <xdr:colOff>57150</xdr:colOff>
      <xdr:row>49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ve%20A%20Design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iedewoodwo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75" workbookViewId="0">
      <selection activeCell="B14" sqref="B14"/>
    </sheetView>
  </sheetViews>
  <sheetFormatPr defaultRowHeight="15" x14ac:dyDescent="0.25"/>
  <cols>
    <col min="1" max="1" width="40.5703125" customWidth="1"/>
    <col min="2" max="2" width="10.28515625" customWidth="1"/>
    <col min="3" max="3" width="28.7109375" customWidth="1"/>
  </cols>
  <sheetData>
    <row r="1" spans="1:7" x14ac:dyDescent="0.25">
      <c r="A1" s="34" t="s">
        <v>59</v>
      </c>
      <c r="B1" s="31">
        <v>0.75</v>
      </c>
    </row>
    <row r="2" spans="1:7" x14ac:dyDescent="0.25">
      <c r="A2" s="32" t="s">
        <v>43</v>
      </c>
      <c r="B2" s="19">
        <v>6</v>
      </c>
      <c r="C2" t="s">
        <v>72</v>
      </c>
      <c r="D2" s="31">
        <f>180/B2</f>
        <v>30</v>
      </c>
    </row>
    <row r="3" spans="1:7" x14ac:dyDescent="0.25">
      <c r="A3" s="32" t="s">
        <v>93</v>
      </c>
      <c r="B3" s="20">
        <f>(1/(B2/2))</f>
        <v>0.33333333333333331</v>
      </c>
    </row>
    <row r="4" spans="1:7" x14ac:dyDescent="0.25">
      <c r="A4" s="32" t="s">
        <v>64</v>
      </c>
      <c r="B4" s="31">
        <v>9.5</v>
      </c>
    </row>
    <row r="5" spans="1:7" x14ac:dyDescent="0.25">
      <c r="A5" s="32" t="s">
        <v>94</v>
      </c>
      <c r="B5" s="17">
        <f>DEGREES(ASIN(SIN((90-$B$4)*PI()/180)*SIN($D$2*PI()/180)))</f>
        <v>29.54735891028448</v>
      </c>
      <c r="C5" t="s">
        <v>121</v>
      </c>
      <c r="D5" s="47">
        <f>90-B5</f>
        <v>60.45264108971552</v>
      </c>
    </row>
    <row r="6" spans="1:7" x14ac:dyDescent="0.25">
      <c r="A6" s="32" t="s">
        <v>95</v>
      </c>
      <c r="B6" s="38">
        <f>DEGREES(ATAN(COS((90-$B$4)*PI()/180)*TAN($D$2*PI()/180)))</f>
        <v>5.4432950883360407</v>
      </c>
    </row>
    <row r="7" spans="1:7" x14ac:dyDescent="0.25">
      <c r="A7" s="32" t="s">
        <v>63</v>
      </c>
      <c r="B7" s="31">
        <v>1</v>
      </c>
    </row>
    <row r="8" spans="1:7" x14ac:dyDescent="0.25">
      <c r="A8" s="32" t="s">
        <v>62</v>
      </c>
      <c r="B8" s="31">
        <v>0</v>
      </c>
    </row>
    <row r="9" spans="1:7" x14ac:dyDescent="0.25">
      <c r="A9" s="34" t="s">
        <v>54</v>
      </c>
      <c r="B9" s="21">
        <v>0.15</v>
      </c>
    </row>
    <row r="10" spans="1:7" x14ac:dyDescent="0.25">
      <c r="A10" s="46" t="s">
        <v>55</v>
      </c>
      <c r="B10" s="21">
        <v>0.15</v>
      </c>
    </row>
    <row r="11" spans="1:7" x14ac:dyDescent="0.25">
      <c r="A11" s="43" t="s">
        <v>60</v>
      </c>
      <c r="B11" s="17">
        <v>9.5000000000000001E-2</v>
      </c>
    </row>
    <row r="12" spans="1:7" x14ac:dyDescent="0.25">
      <c r="A12" s="32" t="s">
        <v>61</v>
      </c>
      <c r="B12" s="18">
        <f>B11/COS(PI()/$B$2)</f>
        <v>0.10969655114602889</v>
      </c>
      <c r="C12" s="26"/>
      <c r="E12" s="48"/>
      <c r="F12" s="48"/>
      <c r="G12" s="48"/>
    </row>
    <row r="13" spans="1:7" x14ac:dyDescent="0.25">
      <c r="A13" s="43" t="s">
        <v>122</v>
      </c>
      <c r="B13" s="47">
        <v>0.375</v>
      </c>
    </row>
  </sheetData>
  <mergeCells count="1">
    <mergeCell ref="E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A2" sqref="A2:A26"/>
    </sheetView>
  </sheetViews>
  <sheetFormatPr defaultRowHeight="15" x14ac:dyDescent="0.25"/>
  <cols>
    <col min="1" max="1" width="7.42578125" bestFit="1" customWidth="1"/>
    <col min="2" max="2" width="8" bestFit="1" customWidth="1"/>
    <col min="3" max="4" width="6.7109375" bestFit="1" customWidth="1"/>
    <col min="5" max="5" width="7" customWidth="1"/>
    <col min="6" max="6" width="7.5703125" customWidth="1"/>
    <col min="7" max="9" width="6.42578125" bestFit="1" customWidth="1"/>
  </cols>
  <sheetData>
    <row r="1" spans="1:14" s="37" customFormat="1" ht="114" x14ac:dyDescent="0.25">
      <c r="A1" s="27" t="s">
        <v>0</v>
      </c>
      <c r="B1" s="42" t="s">
        <v>69</v>
      </c>
      <c r="C1" s="42" t="s">
        <v>66</v>
      </c>
      <c r="D1" s="42" t="s">
        <v>70</v>
      </c>
      <c r="E1" s="42" t="s">
        <v>71</v>
      </c>
      <c r="F1" s="45" t="s">
        <v>68</v>
      </c>
      <c r="G1" s="45" t="s">
        <v>73</v>
      </c>
      <c r="H1" s="45" t="s">
        <v>74</v>
      </c>
      <c r="I1" s="44" t="s">
        <v>67</v>
      </c>
      <c r="J1" s="44" t="s">
        <v>88</v>
      </c>
      <c r="K1" s="44" t="s">
        <v>89</v>
      </c>
      <c r="L1" s="44" t="s">
        <v>90</v>
      </c>
      <c r="M1" s="44" t="s">
        <v>91</v>
      </c>
      <c r="N1" s="44" t="s">
        <v>92</v>
      </c>
    </row>
    <row r="2" spans="1:14" x14ac:dyDescent="0.25">
      <c r="A2" s="39" t="s">
        <v>96</v>
      </c>
      <c r="B2" s="40">
        <f>MROUND($F2+($F2*GlobalVariables!$B$3), 0.25)</f>
        <v>36</v>
      </c>
      <c r="C2" s="40">
        <f>'Aspect Ratios'!$H6</f>
        <v>1.25</v>
      </c>
      <c r="D2" s="40">
        <f t="shared" ref="D2:D26" si="0">$C2/2</f>
        <v>0.625</v>
      </c>
      <c r="E2" s="40">
        <f>$D2*COS(PI()/GlobalVariables!$B$2)</f>
        <v>0.54126587736527421</v>
      </c>
      <c r="F2" s="40">
        <f>'Aspect Ratios'!$D6</f>
        <v>26.995927028261821</v>
      </c>
      <c r="G2" s="40">
        <f>$C2*SIN(PI()/GlobalVariables!$B$2)</f>
        <v>0.62499999999999989</v>
      </c>
      <c r="H2" s="41">
        <f>2*($E2+GlobalVariables!$B$1)*TAN(PI()/GlobalVariables!$B$2)</f>
        <v>1.4910254037844388</v>
      </c>
      <c r="I2" s="40">
        <f>($F2/3)/COS(GlobalVariables!$B$4*PI()/180)</f>
        <v>9.1237693511175628</v>
      </c>
      <c r="J2" s="40">
        <f>MROUND($D2+($F2/4)*TAN(GlobalVariables!$B$4*PI()/180), 0.001)</f>
        <v>1.754</v>
      </c>
      <c r="K2" s="40">
        <f t="shared" ref="K2:K26" si="1">$G2</f>
        <v>0.62499999999999989</v>
      </c>
      <c r="L2" s="40">
        <f>$K2 +2*(0.75/COS(GlobalVariables!$D$2*PI()/180))*TAN(PI()/GlobalVariables!$B$2)</f>
        <v>1.6249999999999998</v>
      </c>
      <c r="M2" s="40">
        <f>$J2*SIN(PI()/GlobalVariables!$B$2)</f>
        <v>0.87699999999999989</v>
      </c>
      <c r="N2" s="40">
        <f>$M2+2*GlobalVariables!$B$1*TAN(PI()/GlobalVariables!$B$2)</f>
        <v>1.7430254037844386</v>
      </c>
    </row>
    <row r="3" spans="1:14" x14ac:dyDescent="0.25">
      <c r="A3" s="39" t="s">
        <v>97</v>
      </c>
      <c r="B3" s="40">
        <f>MROUND($F3+($F3*GlobalVariables!$B$3), 0.25)</f>
        <v>38</v>
      </c>
      <c r="C3" s="40">
        <f>'Aspect Ratios'!$H7</f>
        <v>1.25</v>
      </c>
      <c r="D3" s="40">
        <f t="shared" si="0"/>
        <v>0.625</v>
      </c>
      <c r="E3" s="40">
        <f>$D3*COS(PI()/GlobalVariables!$B$2)</f>
        <v>0.54126587736527421</v>
      </c>
      <c r="F3" s="40">
        <f>'Aspect Ratios'!$D7</f>
        <v>28.57847829081501</v>
      </c>
      <c r="G3" s="40">
        <f>$C3*SIN(PI()/GlobalVariables!$B$2)</f>
        <v>0.62499999999999989</v>
      </c>
      <c r="H3" s="41">
        <f>2*($E3+GlobalVariables!$B$1)*TAN(PI()/GlobalVariables!$B$2)</f>
        <v>1.4910254037844388</v>
      </c>
      <c r="I3" s="40">
        <f>($F3/3)/COS(GlobalVariables!$B$4*PI()/180)</f>
        <v>9.6586216157106364</v>
      </c>
      <c r="J3" s="40">
        <f>MROUND($D3+($F3/4)*TAN(GlobalVariables!$B$4*PI()/180), 0.001)</f>
        <v>1.821</v>
      </c>
      <c r="K3" s="40">
        <f t="shared" si="1"/>
        <v>0.62499999999999989</v>
      </c>
      <c r="L3" s="40">
        <f>$K3 +2*(0.75/COS(GlobalVariables!$D$2*PI()/180))*TAN(PI()/GlobalVariables!$B$2)</f>
        <v>1.6249999999999998</v>
      </c>
      <c r="M3" s="40">
        <f>$J3*SIN(PI()/GlobalVariables!$B$2)</f>
        <v>0.91049999999999986</v>
      </c>
      <c r="N3" s="40">
        <f>$M3+2*GlobalVariables!$B$1*TAN(PI()/GlobalVariables!$B$2)</f>
        <v>1.7765254037844385</v>
      </c>
    </row>
    <row r="4" spans="1:14" x14ac:dyDescent="0.25">
      <c r="A4" s="39" t="s">
        <v>98</v>
      </c>
      <c r="B4" s="40">
        <f>MROUND($F4+($F4*GlobalVariables!$B$3), 0.25)</f>
        <v>40.25</v>
      </c>
      <c r="C4" s="40">
        <f>'Aspect Ratios'!$H8</f>
        <v>1.25</v>
      </c>
      <c r="D4" s="40">
        <f t="shared" si="0"/>
        <v>0.625</v>
      </c>
      <c r="E4" s="40">
        <f>$D4*COS(PI()/GlobalVariables!$B$2)</f>
        <v>0.54126587736527421</v>
      </c>
      <c r="F4" s="40">
        <f>'Aspect Ratios'!$D8</f>
        <v>30.229967974682179</v>
      </c>
      <c r="G4" s="40">
        <f>$C4*SIN(PI()/GlobalVariables!$B$2)</f>
        <v>0.62499999999999989</v>
      </c>
      <c r="H4" s="41">
        <f>2*($E4+GlobalVariables!$B$1)*TAN(PI()/GlobalVariables!$B$2)</f>
        <v>1.4910254037844388</v>
      </c>
      <c r="I4" s="40">
        <f>($F4/3)/COS(GlobalVariables!$B$4*PI()/180)</f>
        <v>10.216772885921868</v>
      </c>
      <c r="J4" s="40">
        <f>MROUND($D4+($F4/4)*TAN(GlobalVariables!$B$4*PI()/180), 0.001)</f>
        <v>1.8900000000000001</v>
      </c>
      <c r="K4" s="40">
        <f t="shared" si="1"/>
        <v>0.62499999999999989</v>
      </c>
      <c r="L4" s="40">
        <f>$K4 +2*(0.75/COS(GlobalVariables!$D$2*PI()/180))*TAN(PI()/GlobalVariables!$B$2)</f>
        <v>1.6249999999999998</v>
      </c>
      <c r="M4" s="40">
        <f>$J4*SIN(PI()/GlobalVariables!$B$2)</f>
        <v>0.94499999999999995</v>
      </c>
      <c r="N4" s="40">
        <f>$M4+2*GlobalVariables!$B$1*TAN(PI()/GlobalVariables!$B$2)</f>
        <v>1.8110254037844387</v>
      </c>
    </row>
    <row r="5" spans="1:14" x14ac:dyDescent="0.25">
      <c r="A5" s="39" t="s">
        <v>99</v>
      </c>
      <c r="B5" s="40">
        <f>MROUND($F5+($F5*GlobalVariables!$B$3), 0.25)</f>
        <v>42.75</v>
      </c>
      <c r="C5" s="40">
        <f>'Aspect Ratios'!$H9</f>
        <v>1.25</v>
      </c>
      <c r="D5" s="40">
        <f t="shared" si="0"/>
        <v>0.625</v>
      </c>
      <c r="E5" s="40">
        <f>$D5*COS(PI()/GlobalVariables!$B$2)</f>
        <v>0.54126587736527421</v>
      </c>
      <c r="F5" s="40">
        <f>'Aspect Ratios'!$D9</f>
        <v>32.032122405153899</v>
      </c>
      <c r="G5" s="40">
        <f>$C5*SIN(PI()/GlobalVariables!$B$2)</f>
        <v>0.62499999999999989</v>
      </c>
      <c r="H5" s="41">
        <f>2*($E5+GlobalVariables!$B$1)*TAN(PI()/GlobalVariables!$B$2)</f>
        <v>1.4910254037844388</v>
      </c>
      <c r="I5" s="40">
        <f>($F5/3)/COS(GlobalVariables!$B$4*PI()/180)</f>
        <v>10.825844074383193</v>
      </c>
      <c r="J5" s="40">
        <f>MROUND($D5+($F5/4)*TAN(GlobalVariables!$B$4*PI()/180), 0.001)</f>
        <v>1.9650000000000001</v>
      </c>
      <c r="K5" s="40">
        <f t="shared" si="1"/>
        <v>0.62499999999999989</v>
      </c>
      <c r="L5" s="40">
        <f>$K5 +2*(0.75/COS(GlobalVariables!$D$2*PI()/180))*TAN(PI()/GlobalVariables!$B$2)</f>
        <v>1.6249999999999998</v>
      </c>
      <c r="M5" s="40">
        <f>$J5*SIN(PI()/GlobalVariables!$B$2)</f>
        <v>0.98249999999999993</v>
      </c>
      <c r="N5" s="40">
        <f>$M5+2*GlobalVariables!$B$1*TAN(PI()/GlobalVariables!$B$2)</f>
        <v>1.8485254037844385</v>
      </c>
    </row>
    <row r="6" spans="1:14" x14ac:dyDescent="0.25">
      <c r="A6" s="39" t="s">
        <v>100</v>
      </c>
      <c r="B6" s="40">
        <f>MROUND($F6+($F6*GlobalVariables!$B$3), 0.25)</f>
        <v>45.25</v>
      </c>
      <c r="C6" s="40">
        <f>'Aspect Ratios'!$H10</f>
        <v>1.5</v>
      </c>
      <c r="D6" s="40">
        <f t="shared" si="0"/>
        <v>0.75</v>
      </c>
      <c r="E6" s="40">
        <f>$D6*COS(PI()/GlobalVariables!$B$2)</f>
        <v>0.649519052838329</v>
      </c>
      <c r="F6" s="40">
        <f>'Aspect Ratios'!$D10</f>
        <v>33.991547530022437</v>
      </c>
      <c r="G6" s="40">
        <f>$C6*SIN(PI()/GlobalVariables!$B$2)</f>
        <v>0.74999999999999989</v>
      </c>
      <c r="H6" s="41">
        <f>2*($E6+GlobalVariables!$B$1)*TAN(PI()/GlobalVariables!$B$2)</f>
        <v>1.6160254037844386</v>
      </c>
      <c r="I6" s="40">
        <f>($F6/3)/COS(GlobalVariables!$B$4*PI()/180)</f>
        <v>11.488067782476996</v>
      </c>
      <c r="J6" s="40">
        <f>MROUND($D6+($F6/4)*TAN(GlobalVariables!$B$4*PI()/180), 0.001)</f>
        <v>2.1720000000000002</v>
      </c>
      <c r="K6" s="40">
        <f t="shared" si="1"/>
        <v>0.74999999999999989</v>
      </c>
      <c r="L6" s="40">
        <f>$K6 +2*(0.75/COS(GlobalVariables!$D$2*PI()/180))*TAN(PI()/GlobalVariables!$B$2)</f>
        <v>1.7499999999999998</v>
      </c>
      <c r="M6" s="40">
        <f>$J6*SIN(PI()/GlobalVariables!$B$2)</f>
        <v>1.0859999999999999</v>
      </c>
      <c r="N6" s="40">
        <f>$M6+2*GlobalVariables!$B$1*TAN(PI()/GlobalVariables!$B$2)</f>
        <v>1.9520254037844385</v>
      </c>
    </row>
    <row r="7" spans="1:14" x14ac:dyDescent="0.25">
      <c r="A7" s="39" t="s">
        <v>101</v>
      </c>
      <c r="B7" s="40">
        <f>MROUND($F7+($F7*GlobalVariables!$B$3), 0.25)</f>
        <v>48</v>
      </c>
      <c r="C7" s="40">
        <f>'Aspect Ratios'!$H11</f>
        <v>1.5</v>
      </c>
      <c r="D7" s="40">
        <f t="shared" si="0"/>
        <v>0.75</v>
      </c>
      <c r="E7" s="40">
        <f>$D7*COS(PI()/GlobalVariables!$B$2)</f>
        <v>0.649519052838329</v>
      </c>
      <c r="F7" s="40">
        <f>'Aspect Ratios'!$D11</f>
        <v>35.983504740478871</v>
      </c>
      <c r="G7" s="40">
        <f>$C7*SIN(PI()/GlobalVariables!$B$2)</f>
        <v>0.74999999999999989</v>
      </c>
      <c r="H7" s="41">
        <f>2*($E7+GlobalVariables!$B$1)*TAN(PI()/GlobalVariables!$B$2)</f>
        <v>1.6160254037844386</v>
      </c>
      <c r="I7" s="40">
        <f>($F7/3)/COS(GlobalVariables!$B$4*PI()/180)</f>
        <v>12.1612863063852</v>
      </c>
      <c r="J7" s="40">
        <f>MROUND($D7+($F7/4)*TAN(GlobalVariables!$B$4*PI()/180), 0.001)</f>
        <v>2.2549999999999999</v>
      </c>
      <c r="K7" s="40">
        <f t="shared" si="1"/>
        <v>0.74999999999999989</v>
      </c>
      <c r="L7" s="40">
        <f>$K7 +2*(0.75/COS(GlobalVariables!$D$2*PI()/180))*TAN(PI()/GlobalVariables!$B$2)</f>
        <v>1.7499999999999998</v>
      </c>
      <c r="M7" s="40">
        <f>$J7*SIN(PI()/GlobalVariables!$B$2)</f>
        <v>1.1274999999999997</v>
      </c>
      <c r="N7" s="40">
        <f>$M7+2*GlobalVariables!$B$1*TAN(PI()/GlobalVariables!$B$2)</f>
        <v>1.9935254037844383</v>
      </c>
    </row>
    <row r="8" spans="1:14" x14ac:dyDescent="0.25">
      <c r="A8" s="39" t="s">
        <v>102</v>
      </c>
      <c r="B8" s="40">
        <f>MROUND($F8+($F8*GlobalVariables!$B$3), 0.25)</f>
        <v>50.75</v>
      </c>
      <c r="C8" s="40">
        <f>'Aspect Ratios'!$H12</f>
        <v>1.5</v>
      </c>
      <c r="D8" s="40">
        <f t="shared" si="0"/>
        <v>0.75</v>
      </c>
      <c r="E8" s="40">
        <f>$D8*COS(PI()/GlobalVariables!$B$2)</f>
        <v>0.649519052838329</v>
      </c>
      <c r="F8" s="40">
        <f>'Aspect Ratios'!$D12</f>
        <v>38.096307725047886</v>
      </c>
      <c r="G8" s="40">
        <f>$C8*SIN(PI()/GlobalVariables!$B$2)</f>
        <v>0.74999999999999989</v>
      </c>
      <c r="H8" s="41">
        <f>2*($E8+GlobalVariables!$B$1)*TAN(PI()/GlobalVariables!$B$2)</f>
        <v>1.6160254037844386</v>
      </c>
      <c r="I8" s="40">
        <f>($F8/3)/COS(GlobalVariables!$B$4*PI()/180)</f>
        <v>12.875346879129372</v>
      </c>
      <c r="J8" s="40">
        <f>MROUND($D8+($F8/4)*TAN(GlobalVariables!$B$4*PI()/180), 0.001)</f>
        <v>2.3439999999999999</v>
      </c>
      <c r="K8" s="40">
        <f t="shared" si="1"/>
        <v>0.74999999999999989</v>
      </c>
      <c r="L8" s="40">
        <f>$K8 +2*(0.75/COS(GlobalVariables!$D$2*PI()/180))*TAN(PI()/GlobalVariables!$B$2)</f>
        <v>1.7499999999999998</v>
      </c>
      <c r="M8" s="40">
        <f>$J8*SIN(PI()/GlobalVariables!$B$2)</f>
        <v>1.1719999999999997</v>
      </c>
      <c r="N8" s="40">
        <f>$M8+2*GlobalVariables!$B$1*TAN(PI()/GlobalVariables!$B$2)</f>
        <v>2.0380254037844381</v>
      </c>
    </row>
    <row r="9" spans="1:14" x14ac:dyDescent="0.25">
      <c r="A9" s="39" t="s">
        <v>103</v>
      </c>
      <c r="B9" s="40">
        <f>MROUND($F9+($F9*GlobalVariables!$B$3), 0.25)</f>
        <v>53.75</v>
      </c>
      <c r="C9" s="40">
        <f>'Aspect Ratios'!$H13</f>
        <v>1.5</v>
      </c>
      <c r="D9" s="40">
        <f t="shared" si="0"/>
        <v>0.75</v>
      </c>
      <c r="E9" s="40">
        <f>$D9*COS(PI()/GlobalVariables!$B$2)</f>
        <v>0.649519052838329</v>
      </c>
      <c r="F9" s="40">
        <f>'Aspect Ratios'!$D13</f>
        <v>40.334130850611956</v>
      </c>
      <c r="G9" s="40">
        <f>$C9*SIN(PI()/GlobalVariables!$B$2)</f>
        <v>0.74999999999999989</v>
      </c>
      <c r="H9" s="41">
        <f>2*($E9+GlobalVariables!$B$1)*TAN(PI()/GlobalVariables!$B$2)</f>
        <v>1.6160254037844386</v>
      </c>
      <c r="I9" s="40">
        <f>($F9/3)/COS(GlobalVariables!$B$4*PI()/180)</f>
        <v>13.631660304664594</v>
      </c>
      <c r="J9" s="40">
        <f>MROUND($D9+($F9/4)*TAN(GlobalVariables!$B$4*PI()/180), 0.001)</f>
        <v>2.4369999999999998</v>
      </c>
      <c r="K9" s="40">
        <f t="shared" si="1"/>
        <v>0.74999999999999989</v>
      </c>
      <c r="L9" s="40">
        <f>$K9 +2*(0.75/COS(GlobalVariables!$D$2*PI()/180))*TAN(PI()/GlobalVariables!$B$2)</f>
        <v>1.7499999999999998</v>
      </c>
      <c r="M9" s="40">
        <f>$J9*SIN(PI()/GlobalVariables!$B$2)</f>
        <v>1.2184999999999997</v>
      </c>
      <c r="N9" s="40">
        <f>$M9+2*GlobalVariables!$B$1*TAN(PI()/GlobalVariables!$B$2)</f>
        <v>2.0845254037844381</v>
      </c>
    </row>
    <row r="10" spans="1:14" x14ac:dyDescent="0.25">
      <c r="A10" s="39" t="s">
        <v>104</v>
      </c>
      <c r="B10" s="40">
        <f>MROUND($F10+($F10*GlobalVariables!$B$3), 0.25)</f>
        <v>57</v>
      </c>
      <c r="C10" s="40">
        <f>'Aspect Ratios'!$H14</f>
        <v>1.75</v>
      </c>
      <c r="D10" s="40">
        <f t="shared" si="0"/>
        <v>0.875</v>
      </c>
      <c r="E10" s="40">
        <f>$D10*COS(PI()/GlobalVariables!$B$2)</f>
        <v>0.75777222831138391</v>
      </c>
      <c r="F10" s="40">
        <f>'Aspect Ratios'!$D14</f>
        <v>42.780593551352133</v>
      </c>
      <c r="G10" s="40">
        <f>$C10*SIN(PI()/GlobalVariables!$B$2)</f>
        <v>0.87499999999999989</v>
      </c>
      <c r="H10" s="41">
        <f>2*($E10+GlobalVariables!$B$1)*TAN(PI()/GlobalVariables!$B$2)</f>
        <v>1.7410254037844386</v>
      </c>
      <c r="I10" s="40">
        <f>($F10/3)/COS(GlobalVariables!$B$4*PI()/180)</f>
        <v>14.458487306541501</v>
      </c>
      <c r="J10" s="40">
        <f>MROUND($D10+($F10/4)*TAN(GlobalVariables!$B$4*PI()/180), 0.001)</f>
        <v>2.665</v>
      </c>
      <c r="K10" s="40">
        <f t="shared" si="1"/>
        <v>0.87499999999999989</v>
      </c>
      <c r="L10" s="40">
        <f>$K10 +2*(0.75/COS(GlobalVariables!$D$2*PI()/180))*TAN(PI()/GlobalVariables!$B$2)</f>
        <v>1.8749999999999998</v>
      </c>
      <c r="M10" s="40">
        <f>$J10*SIN(PI()/GlobalVariables!$B$2)</f>
        <v>1.3324999999999998</v>
      </c>
      <c r="N10" s="40">
        <f>$M10+2*GlobalVariables!$B$1*TAN(PI()/GlobalVariables!$B$2)</f>
        <v>2.1985254037844384</v>
      </c>
    </row>
    <row r="11" spans="1:14" x14ac:dyDescent="0.25">
      <c r="A11" s="39" t="s">
        <v>105</v>
      </c>
      <c r="B11" s="40">
        <f>MROUND($F11+($F11*GlobalVariables!$B$3), 0.25)</f>
        <v>60.5</v>
      </c>
      <c r="C11" s="40">
        <f>'Aspect Ratios'!$H15</f>
        <v>1.75</v>
      </c>
      <c r="D11" s="40">
        <f t="shared" si="0"/>
        <v>0.875</v>
      </c>
      <c r="E11" s="40">
        <f>$D11*COS(PI()/GlobalVariables!$B$2)</f>
        <v>0.75777222831138391</v>
      </c>
      <c r="F11" s="40">
        <f>'Aspect Ratios'!$D15</f>
        <v>45.295936803380421</v>
      </c>
      <c r="G11" s="40">
        <f>$C11*SIN(PI()/GlobalVariables!$B$2)</f>
        <v>0.87499999999999989</v>
      </c>
      <c r="H11" s="41">
        <f>2*($E11+GlobalVariables!$B$1)*TAN(PI()/GlobalVariables!$B$2)</f>
        <v>1.7410254037844386</v>
      </c>
      <c r="I11" s="40">
        <f>($F11/3)/COS(GlobalVariables!$B$4*PI()/180)</f>
        <v>15.308593755798478</v>
      </c>
      <c r="J11" s="40">
        <f>MROUND($D11+($F11/4)*TAN(GlobalVariables!$B$4*PI()/180), 0.001)</f>
        <v>2.77</v>
      </c>
      <c r="K11" s="40">
        <f t="shared" si="1"/>
        <v>0.87499999999999989</v>
      </c>
      <c r="L11" s="40">
        <f>$K11 +2*(0.75/COS(GlobalVariables!$D$2*PI()/180))*TAN(PI()/GlobalVariables!$B$2)</f>
        <v>1.8749999999999998</v>
      </c>
      <c r="M11" s="40">
        <f>$J11*SIN(PI()/GlobalVariables!$B$2)</f>
        <v>1.3849999999999998</v>
      </c>
      <c r="N11" s="40">
        <f>$M11+2*GlobalVariables!$B$1*TAN(PI()/GlobalVariables!$B$2)</f>
        <v>2.2510254037844382</v>
      </c>
    </row>
    <row r="12" spans="1:14" x14ac:dyDescent="0.25">
      <c r="A12" s="39" t="s">
        <v>106</v>
      </c>
      <c r="B12" s="40">
        <f>MROUND($F12+($F12*GlobalVariables!$B$3), 0.25)</f>
        <v>64</v>
      </c>
      <c r="C12" s="40">
        <f>'Aspect Ratios'!$H16</f>
        <v>1.75</v>
      </c>
      <c r="D12" s="40">
        <f t="shared" si="0"/>
        <v>0.875</v>
      </c>
      <c r="E12" s="40">
        <f>$D12*COS(PI()/GlobalVariables!$B$2)</f>
        <v>0.75777222831138391</v>
      </c>
      <c r="F12" s="40">
        <f>'Aspect Ratios'!$D16</f>
        <v>47.954630408157577</v>
      </c>
      <c r="G12" s="40">
        <f>$C12*SIN(PI()/GlobalVariables!$B$2)</f>
        <v>0.87499999999999989</v>
      </c>
      <c r="H12" s="41">
        <f>2*($E12+GlobalVariables!$B$1)*TAN(PI()/GlobalVariables!$B$2)</f>
        <v>1.7410254037844386</v>
      </c>
      <c r="I12" s="40">
        <f>($F12/3)/COS(GlobalVariables!$B$4*PI()/180)</f>
        <v>16.20714808956458</v>
      </c>
      <c r="J12" s="40">
        <f>MROUND($D12+($F12/4)*TAN(GlobalVariables!$B$4*PI()/180), 0.001)</f>
        <v>2.8810000000000002</v>
      </c>
      <c r="K12" s="40">
        <f t="shared" si="1"/>
        <v>0.87499999999999989</v>
      </c>
      <c r="L12" s="40">
        <f>$K12 +2*(0.75/COS(GlobalVariables!$D$2*PI()/180))*TAN(PI()/GlobalVariables!$B$2)</f>
        <v>1.8749999999999998</v>
      </c>
      <c r="M12" s="40">
        <f>$J12*SIN(PI()/GlobalVariables!$B$2)</f>
        <v>1.4404999999999999</v>
      </c>
      <c r="N12" s="40">
        <f>$M12+2*GlobalVariables!$B$1*TAN(PI()/GlobalVariables!$B$2)</f>
        <v>2.3065254037844385</v>
      </c>
    </row>
    <row r="13" spans="1:14" x14ac:dyDescent="0.25">
      <c r="A13" s="39" t="s">
        <v>107</v>
      </c>
      <c r="B13" s="40">
        <f>MROUND($F13+($F13*GlobalVariables!$B$3), 0.25)</f>
        <v>67.75</v>
      </c>
      <c r="C13" s="40">
        <f>'Aspect Ratios'!$H17</f>
        <v>2</v>
      </c>
      <c r="D13" s="40">
        <f t="shared" si="0"/>
        <v>1</v>
      </c>
      <c r="E13" s="40">
        <f>$D13*COS(PI()/GlobalVariables!$B$2)</f>
        <v>0.86602540378443871</v>
      </c>
      <c r="F13" s="40">
        <f>'Aspect Ratios'!$D17</f>
        <v>50.849400643101433</v>
      </c>
      <c r="G13" s="40">
        <f>$C13*SIN(PI()/GlobalVariables!$B$2)</f>
        <v>0.99999999999999989</v>
      </c>
      <c r="H13" s="41">
        <f>2*($E13+GlobalVariables!$B$1)*TAN(PI()/GlobalVariables!$B$2)</f>
        <v>1.8660254037844388</v>
      </c>
      <c r="I13" s="40">
        <f>($F13/3)/COS(GlobalVariables!$B$4*PI()/180)</f>
        <v>17.185488856320188</v>
      </c>
      <c r="J13" s="40">
        <f>MROUND($D13+($F13/4)*TAN(GlobalVariables!$B$4*PI()/180), 0.001)</f>
        <v>3.1270000000000002</v>
      </c>
      <c r="K13" s="40">
        <f t="shared" si="1"/>
        <v>0.99999999999999989</v>
      </c>
      <c r="L13" s="40">
        <f>$K13 +2*(0.75/COS(GlobalVariables!$D$2*PI()/180))*TAN(PI()/GlobalVariables!$B$2)</f>
        <v>1.9999999999999998</v>
      </c>
      <c r="M13" s="40">
        <f>$J13*SIN(PI()/GlobalVariables!$B$2)</f>
        <v>1.5634999999999999</v>
      </c>
      <c r="N13" s="40">
        <f>$M13+2*GlobalVariables!$B$1*TAN(PI()/GlobalVariables!$B$2)</f>
        <v>2.4295254037844387</v>
      </c>
    </row>
    <row r="14" spans="1:14" x14ac:dyDescent="0.25">
      <c r="A14" s="39" t="s">
        <v>108</v>
      </c>
      <c r="B14" s="40">
        <f>MROUND($F14+($F14*GlobalVariables!$B$3), 0.25)</f>
        <v>71.75</v>
      </c>
      <c r="C14" s="40">
        <f>'Aspect Ratios'!$H18</f>
        <v>2</v>
      </c>
      <c r="D14" s="40">
        <f t="shared" si="0"/>
        <v>1</v>
      </c>
      <c r="E14" s="40">
        <f>$D14*COS(PI()/GlobalVariables!$B$2)</f>
        <v>0.86602540378443871</v>
      </c>
      <c r="F14" s="40">
        <f>'Aspect Ratios'!$D18</f>
        <v>53.845924534662522</v>
      </c>
      <c r="G14" s="40">
        <f>$C14*SIN(PI()/GlobalVariables!$B$2)</f>
        <v>0.99999999999999989</v>
      </c>
      <c r="H14" s="41">
        <f>2*($E14+GlobalVariables!$B$1)*TAN(PI()/GlobalVariables!$B$2)</f>
        <v>1.8660254037844388</v>
      </c>
      <c r="I14" s="40">
        <f>($F14/3)/COS(GlobalVariables!$B$4*PI()/180)</f>
        <v>18.198219140155043</v>
      </c>
      <c r="J14" s="40">
        <f>MROUND($D14+($F14/4)*TAN(GlobalVariables!$B$4*PI()/180), 0.001)</f>
        <v>3.2530000000000001</v>
      </c>
      <c r="K14" s="40">
        <f t="shared" si="1"/>
        <v>0.99999999999999989</v>
      </c>
      <c r="L14" s="40">
        <f>$K14 +2*(0.75/COS(GlobalVariables!$D$2*PI()/180))*TAN(PI()/GlobalVariables!$B$2)</f>
        <v>1.9999999999999998</v>
      </c>
      <c r="M14" s="40">
        <f>$J14*SIN(PI()/GlobalVariables!$B$2)</f>
        <v>1.6264999999999998</v>
      </c>
      <c r="N14" s="40">
        <f>$M14+2*GlobalVariables!$B$1*TAN(PI()/GlobalVariables!$B$2)</f>
        <v>2.4925254037844384</v>
      </c>
    </row>
    <row r="15" spans="1:14" x14ac:dyDescent="0.25">
      <c r="A15" s="39" t="s">
        <v>109</v>
      </c>
      <c r="B15" s="40">
        <f>MROUND($F15+($F15*GlobalVariables!$B$3), 0.25)</f>
        <v>76</v>
      </c>
      <c r="C15" s="40">
        <f>'Aspect Ratios'!$H19</f>
        <v>2</v>
      </c>
      <c r="D15" s="40">
        <f t="shared" si="0"/>
        <v>1</v>
      </c>
      <c r="E15" s="40">
        <f>$D15*COS(PI()/GlobalVariables!$B$2)</f>
        <v>0.86602540378443871</v>
      </c>
      <c r="F15" s="40">
        <f>'Aspect Ratios'!$D19</f>
        <v>57.002388476950593</v>
      </c>
      <c r="G15" s="40">
        <f>$C15*SIN(PI()/GlobalVariables!$B$2)</f>
        <v>0.99999999999999989</v>
      </c>
      <c r="H15" s="41">
        <f>2*($E15+GlobalVariables!$B$1)*TAN(PI()/GlobalVariables!$B$2)</f>
        <v>1.8660254037844388</v>
      </c>
      <c r="I15" s="40">
        <f>($F15/3)/COS(GlobalVariables!$B$4*PI()/180)</f>
        <v>19.265004101620018</v>
      </c>
      <c r="J15" s="40">
        <f>MROUND($D15+($F15/4)*TAN(GlobalVariables!$B$4*PI()/180), 0.001)</f>
        <v>3.3850000000000002</v>
      </c>
      <c r="K15" s="40">
        <f t="shared" si="1"/>
        <v>0.99999999999999989</v>
      </c>
      <c r="L15" s="40">
        <f>$K15 +2*(0.75/COS(GlobalVariables!$D$2*PI()/180))*TAN(PI()/GlobalVariables!$B$2)</f>
        <v>1.9999999999999998</v>
      </c>
      <c r="M15" s="40">
        <f>$J15*SIN(PI()/GlobalVariables!$B$2)</f>
        <v>1.6924999999999999</v>
      </c>
      <c r="N15" s="40">
        <f>$M15+2*GlobalVariables!$B$1*TAN(PI()/GlobalVariables!$B$2)</f>
        <v>2.5585254037844383</v>
      </c>
    </row>
    <row r="16" spans="1:14" x14ac:dyDescent="0.25">
      <c r="A16" s="39" t="s">
        <v>110</v>
      </c>
      <c r="B16" s="40">
        <f>MROUND($F16+($F16*GlobalVariables!$B$3), 0.25)</f>
        <v>80.5</v>
      </c>
      <c r="C16" s="40">
        <f>'Aspect Ratios'!$H20</f>
        <v>2.25</v>
      </c>
      <c r="D16" s="40">
        <f t="shared" si="0"/>
        <v>1.125</v>
      </c>
      <c r="E16" s="40">
        <f>$D16*COS(PI()/GlobalVariables!$B$2)</f>
        <v>0.9742785792574935</v>
      </c>
      <c r="F16" s="40">
        <f>'Aspect Ratios'!$D20</f>
        <v>60.436171521656576</v>
      </c>
      <c r="G16" s="40">
        <f>$C16*SIN(PI()/GlobalVariables!$B$2)</f>
        <v>1.1249999999999998</v>
      </c>
      <c r="H16" s="41">
        <f>2*($E16+GlobalVariables!$B$1)*TAN(PI()/GlobalVariables!$B$2)</f>
        <v>1.9910254037844386</v>
      </c>
      <c r="I16" s="40">
        <f>($F16/3)/COS(GlobalVariables!$B$4*PI()/180)</f>
        <v>20.42551414703826</v>
      </c>
      <c r="J16" s="40">
        <f>MROUND($D16+($F16/4)*TAN(GlobalVariables!$B$4*PI()/180), 0.001)</f>
        <v>3.653</v>
      </c>
      <c r="K16" s="40">
        <f t="shared" si="1"/>
        <v>1.1249999999999998</v>
      </c>
      <c r="L16" s="40">
        <f>$K16 +2*(0.75/COS(GlobalVariables!$D$2*PI()/180))*TAN(PI()/GlobalVariables!$B$2)</f>
        <v>2.1249999999999996</v>
      </c>
      <c r="M16" s="40">
        <f>$J16*SIN(PI()/GlobalVariables!$B$2)</f>
        <v>1.8264999999999998</v>
      </c>
      <c r="N16" s="40">
        <f>$M16+2*GlobalVariables!$B$1*TAN(PI()/GlobalVariables!$B$2)</f>
        <v>2.6925254037844386</v>
      </c>
    </row>
    <row r="17" spans="1:14" x14ac:dyDescent="0.25">
      <c r="A17" s="39" t="s">
        <v>111</v>
      </c>
      <c r="B17" s="40">
        <f>MROUND($F17+($F17*GlobalVariables!$B$3), 0.25)</f>
        <v>85.25</v>
      </c>
      <c r="C17" s="40">
        <f>'Aspect Ratios'!$H21</f>
        <v>2.25</v>
      </c>
      <c r="D17" s="40">
        <f t="shared" si="0"/>
        <v>1.125</v>
      </c>
      <c r="E17" s="40">
        <f>$D17*COS(PI()/GlobalVariables!$B$2)</f>
        <v>0.9742785792574935</v>
      </c>
      <c r="F17" s="40">
        <f>'Aspect Ratios'!$D21</f>
        <v>63.989244810307795</v>
      </c>
      <c r="G17" s="40">
        <f>$C17*SIN(PI()/GlobalVariables!$B$2)</f>
        <v>1.1249999999999998</v>
      </c>
      <c r="H17" s="41">
        <f>2*($E17+GlobalVariables!$B$1)*TAN(PI()/GlobalVariables!$B$2)</f>
        <v>1.9910254037844386</v>
      </c>
      <c r="I17" s="40">
        <f>($F17/3)/COS(GlobalVariables!$B$4*PI()/180)</f>
        <v>21.62634052130327</v>
      </c>
      <c r="J17" s="40">
        <f>MROUND($D17+($F17/4)*TAN(GlobalVariables!$B$4*PI()/180), 0.001)</f>
        <v>3.802</v>
      </c>
      <c r="K17" s="40">
        <f t="shared" si="1"/>
        <v>1.1249999999999998</v>
      </c>
      <c r="L17" s="40">
        <f>$K17 +2*(0.75/COS(GlobalVariables!$D$2*PI()/180))*TAN(PI()/GlobalVariables!$B$2)</f>
        <v>2.1249999999999996</v>
      </c>
      <c r="M17" s="40">
        <f>$J17*SIN(PI()/GlobalVariables!$B$2)</f>
        <v>1.9009999999999998</v>
      </c>
      <c r="N17" s="40">
        <f>$M17+2*GlobalVariables!$B$1*TAN(PI()/GlobalVariables!$B$2)</f>
        <v>2.7670254037844382</v>
      </c>
    </row>
    <row r="18" spans="1:14" x14ac:dyDescent="0.25">
      <c r="A18" s="39" t="s">
        <v>112</v>
      </c>
      <c r="B18" s="40">
        <f>MROUND($F18+($F18*GlobalVariables!$B$3), 0.25)</f>
        <v>90.25</v>
      </c>
      <c r="C18" s="40">
        <f>'Aspect Ratios'!$H22</f>
        <v>2.25</v>
      </c>
      <c r="D18" s="40">
        <f t="shared" si="0"/>
        <v>1.125</v>
      </c>
      <c r="E18" s="40">
        <f>$D18*COS(PI()/GlobalVariables!$B$2)</f>
        <v>0.9742785792574935</v>
      </c>
      <c r="F18" s="40">
        <f>'Aspect Ratios'!$D22</f>
        <v>67.758095060044866</v>
      </c>
      <c r="G18" s="40">
        <f>$C18*SIN(PI()/GlobalVariables!$B$2)</f>
        <v>1.1249999999999998</v>
      </c>
      <c r="H18" s="41">
        <f>2*($E18+GlobalVariables!$B$1)*TAN(PI()/GlobalVariables!$B$2)</f>
        <v>1.9910254037844386</v>
      </c>
      <c r="I18" s="40">
        <f>($F18/3)/COS(GlobalVariables!$B$4*PI()/180)</f>
        <v>22.900092682564644</v>
      </c>
      <c r="J18" s="40">
        <f>MROUND($D18+($F18/4)*TAN(GlobalVariables!$B$4*PI()/180), 0.001)</f>
        <v>3.96</v>
      </c>
      <c r="K18" s="40">
        <f t="shared" si="1"/>
        <v>1.1249999999999998</v>
      </c>
      <c r="L18" s="40">
        <f>$K18 +2*(0.75/COS(GlobalVariables!$D$2*PI()/180))*TAN(PI()/GlobalVariables!$B$2)</f>
        <v>2.1249999999999996</v>
      </c>
      <c r="M18" s="40">
        <f>$J18*SIN(PI()/GlobalVariables!$B$2)</f>
        <v>1.9799999999999998</v>
      </c>
      <c r="N18" s="40">
        <f>$M18+2*GlobalVariables!$B$1*TAN(PI()/GlobalVariables!$B$2)</f>
        <v>2.8460254037844384</v>
      </c>
    </row>
    <row r="19" spans="1:14" x14ac:dyDescent="0.25">
      <c r="A19" s="39" t="s">
        <v>113</v>
      </c>
      <c r="B19" s="40">
        <f>MROUND($F19+($F19*GlobalVariables!$B$3), 0.25)</f>
        <v>95.75</v>
      </c>
      <c r="C19" s="40">
        <f>'Aspect Ratios'!$H23</f>
        <v>2.25</v>
      </c>
      <c r="D19" s="40">
        <f t="shared" si="0"/>
        <v>1.125</v>
      </c>
      <c r="E19" s="40">
        <f>$D19*COS(PI()/GlobalVariables!$B$2)</f>
        <v>0.9742785792574935</v>
      </c>
      <c r="F19" s="40">
        <f>'Aspect Ratios'!$D23</f>
        <v>71.742009480957734</v>
      </c>
      <c r="G19" s="40">
        <f>$C19*SIN(PI()/GlobalVariables!$B$2)</f>
        <v>1.1249999999999998</v>
      </c>
      <c r="H19" s="41">
        <f>2*($E19+GlobalVariables!$B$1)*TAN(PI()/GlobalVariables!$B$2)</f>
        <v>1.9910254037844386</v>
      </c>
      <c r="I19" s="40">
        <f>($F19/3)/COS(GlobalVariables!$B$4*PI()/180)</f>
        <v>24.246529730381052</v>
      </c>
      <c r="J19" s="40">
        <f>MROUND($D19+($F19/4)*TAN(GlobalVariables!$B$4*PI()/180), 0.001)</f>
        <v>4.1260000000000003</v>
      </c>
      <c r="K19" s="40">
        <f t="shared" si="1"/>
        <v>1.1249999999999998</v>
      </c>
      <c r="L19" s="40">
        <f>$K19 +2*(0.75/COS(GlobalVariables!$D$2*PI()/180))*TAN(PI()/GlobalVariables!$B$2)</f>
        <v>2.1249999999999996</v>
      </c>
      <c r="M19" s="40">
        <f>$J19*SIN(PI()/GlobalVariables!$B$2)</f>
        <v>2.0629999999999997</v>
      </c>
      <c r="N19" s="40">
        <f>$M19+2*GlobalVariables!$B$1*TAN(PI()/GlobalVariables!$B$2)</f>
        <v>2.9290254037844381</v>
      </c>
    </row>
    <row r="20" spans="1:14" x14ac:dyDescent="0.25">
      <c r="A20" s="39" t="s">
        <v>114</v>
      </c>
      <c r="B20" s="40">
        <f>MROUND($F20+($F20*GlobalVariables!$B$3), 0.25)</f>
        <v>101.25</v>
      </c>
      <c r="C20" s="40">
        <f>'Aspect Ratios'!$H24</f>
        <v>2.25</v>
      </c>
      <c r="D20" s="40">
        <f t="shared" si="0"/>
        <v>1.125</v>
      </c>
      <c r="E20" s="40">
        <f>$D20*COS(PI()/GlobalVariables!$B$2)</f>
        <v>0.9742785792574935</v>
      </c>
      <c r="F20" s="40">
        <f>'Aspect Ratios'!$D24</f>
        <v>75.967615450095764</v>
      </c>
      <c r="G20" s="40">
        <f>$C20*SIN(PI()/GlobalVariables!$B$2)</f>
        <v>1.1249999999999998</v>
      </c>
      <c r="H20" s="41">
        <f>2*($E20+GlobalVariables!$B$1)*TAN(PI()/GlobalVariables!$B$2)</f>
        <v>1.9910254037844386</v>
      </c>
      <c r="I20" s="40">
        <f>($F20/3)/COS(GlobalVariables!$B$4*PI()/180)</f>
        <v>25.674650875869396</v>
      </c>
      <c r="J20" s="40">
        <f>MROUND($D20+($F20/4)*TAN(GlobalVariables!$B$4*PI()/180), 0.001)</f>
        <v>4.3029999999999999</v>
      </c>
      <c r="K20" s="40">
        <f t="shared" si="1"/>
        <v>1.1249999999999998</v>
      </c>
      <c r="L20" s="40">
        <f>$K20 +2*(0.75/COS(GlobalVariables!$D$2*PI()/180))*TAN(PI()/GlobalVariables!$B$2)</f>
        <v>2.1249999999999996</v>
      </c>
      <c r="M20" s="40">
        <f>$J20*SIN(PI()/GlobalVariables!$B$2)</f>
        <v>2.1514999999999995</v>
      </c>
      <c r="N20" s="40">
        <f>$M20+2*GlobalVariables!$B$1*TAN(PI()/GlobalVariables!$B$2)</f>
        <v>3.0175254037844379</v>
      </c>
    </row>
    <row r="21" spans="1:14" x14ac:dyDescent="0.25">
      <c r="A21" s="39" t="s">
        <v>115</v>
      </c>
      <c r="B21" s="40">
        <f>MROUND($F21+($F21*GlobalVariables!$B$3), 0.25)</f>
        <v>107.25</v>
      </c>
      <c r="C21" s="40">
        <f>'Aspect Ratios'!$H25</f>
        <v>2.5</v>
      </c>
      <c r="D21" s="40">
        <f t="shared" si="0"/>
        <v>1.25</v>
      </c>
      <c r="E21" s="40">
        <f>$D21*COS(PI()/GlobalVariables!$B$2)</f>
        <v>1.0825317547305484</v>
      </c>
      <c r="F21" s="40">
        <f>'Aspect Ratios'!$D25</f>
        <v>80.509126536118401</v>
      </c>
      <c r="G21" s="40">
        <f>$C21*SIN(PI()/GlobalVariables!$B$2)</f>
        <v>1.2499999999999998</v>
      </c>
      <c r="H21" s="41">
        <f>2*($E21+GlobalVariables!$B$1)*TAN(PI()/GlobalVariables!$B$2)</f>
        <v>2.1160254037844388</v>
      </c>
      <c r="I21" s="40">
        <f>($F21/3)/COS(GlobalVariables!$B$4*PI()/180)</f>
        <v>27.20953795757751</v>
      </c>
      <c r="J21" s="40">
        <f>MROUND($D21+($F21/4)*TAN(GlobalVariables!$B$4*PI()/180), 0.001)</f>
        <v>4.6180000000000003</v>
      </c>
      <c r="K21" s="40">
        <f t="shared" si="1"/>
        <v>1.2499999999999998</v>
      </c>
      <c r="L21" s="40">
        <f>$K21 +2*(0.75/COS(GlobalVariables!$D$2*PI()/180))*TAN(PI()/GlobalVariables!$B$2)</f>
        <v>2.2499999999999996</v>
      </c>
      <c r="M21" s="40">
        <f>$J21*SIN(PI()/GlobalVariables!$B$2)</f>
        <v>2.3089999999999997</v>
      </c>
      <c r="N21" s="40">
        <f>$M21+2*GlobalVariables!$B$1*TAN(PI()/GlobalVariables!$B$2)</f>
        <v>3.1750254037844385</v>
      </c>
    </row>
    <row r="22" spans="1:14" x14ac:dyDescent="0.25">
      <c r="A22" s="39" t="s">
        <v>116</v>
      </c>
      <c r="B22" s="40">
        <f>MROUND($F22+($F22*GlobalVariables!$B$3), 0.25)</f>
        <v>113.75</v>
      </c>
      <c r="C22" s="40">
        <f>'Aspect Ratios'!$H26</f>
        <v>2.5</v>
      </c>
      <c r="D22" s="40">
        <f t="shared" si="0"/>
        <v>1.25</v>
      </c>
      <c r="E22" s="40">
        <f>$D22*COS(PI()/GlobalVariables!$B$2)</f>
        <v>1.0825317547305484</v>
      </c>
      <c r="F22" s="40">
        <f>'Aspect Ratios'!$D26</f>
        <v>85.271443314731286</v>
      </c>
      <c r="G22" s="40">
        <f>$C22*SIN(PI()/GlobalVariables!$B$2)</f>
        <v>1.2499999999999998</v>
      </c>
      <c r="H22" s="41">
        <f>2*($E22+GlobalVariables!$B$1)*TAN(PI()/GlobalVariables!$B$2)</f>
        <v>2.1160254037844388</v>
      </c>
      <c r="I22" s="40">
        <f>($F22/3)/COS(GlobalVariables!$B$4*PI()/180)</f>
        <v>28.819050378452463</v>
      </c>
      <c r="J22" s="40">
        <f>MROUND($D22+($F22/4)*TAN(GlobalVariables!$B$4*PI()/180), 0.001)</f>
        <v>4.8170000000000002</v>
      </c>
      <c r="K22" s="40">
        <f t="shared" si="1"/>
        <v>1.2499999999999998</v>
      </c>
      <c r="L22" s="40">
        <f>$K22 +2*(0.75/COS(GlobalVariables!$D$2*PI()/180))*TAN(PI()/GlobalVariables!$B$2)</f>
        <v>2.2499999999999996</v>
      </c>
      <c r="M22" s="40">
        <f>$J22*SIN(PI()/GlobalVariables!$B$2)</f>
        <v>2.4084999999999996</v>
      </c>
      <c r="N22" s="40">
        <f>$M22+2*GlobalVariables!$B$1*TAN(PI()/GlobalVariables!$B$2)</f>
        <v>3.2745254037844385</v>
      </c>
    </row>
    <row r="23" spans="1:14" x14ac:dyDescent="0.25">
      <c r="A23" s="39" t="s">
        <v>117</v>
      </c>
      <c r="B23" s="40">
        <f>MROUND($F23+($F23*GlobalVariables!$B$3), 0.25)</f>
        <v>120.5</v>
      </c>
      <c r="C23" s="40">
        <f>'Aspect Ratios'!$H27</f>
        <v>2.5</v>
      </c>
      <c r="D23" s="40">
        <f t="shared" si="0"/>
        <v>1.25</v>
      </c>
      <c r="E23" s="40">
        <f>$D23*COS(PI()/GlobalVariables!$B$2)</f>
        <v>1.0825317547305484</v>
      </c>
      <c r="F23" s="40">
        <f>'Aspect Ratios'!$D$27</f>
        <v>90.291873606760845</v>
      </c>
      <c r="G23" s="40">
        <f>$C23*SIN(PI()/GlobalVariables!$B$2)</f>
        <v>1.2499999999999998</v>
      </c>
      <c r="H23" s="41">
        <f>2*($E23+GlobalVariables!$B$1)*TAN(PI()/GlobalVariables!$B$2)</f>
        <v>2.1160254037844388</v>
      </c>
      <c r="I23" s="40">
        <f>($F23/3)/COS(GlobalVariables!$B$4*PI()/180)</f>
        <v>30.515797001744499</v>
      </c>
      <c r="J23" s="40">
        <f>MROUND($D23+($F23/4)*TAN(GlobalVariables!$B$4*PI()/180), 0.001)</f>
        <v>5.0270000000000001</v>
      </c>
      <c r="K23" s="40">
        <f t="shared" si="1"/>
        <v>1.2499999999999998</v>
      </c>
      <c r="L23" s="40">
        <f>$K23 +2*(0.75/COS(GlobalVariables!$D$2*PI()/180))*TAN(PI()/GlobalVariables!$B$2)</f>
        <v>2.2499999999999996</v>
      </c>
      <c r="M23" s="40">
        <f>$J23*SIN(PI()/GlobalVariables!$B$2)</f>
        <v>2.5134999999999996</v>
      </c>
      <c r="N23" s="40">
        <f>$M23+2*GlobalVariables!$B$1*TAN(PI()/GlobalVariables!$B$2)</f>
        <v>3.379525403784438</v>
      </c>
    </row>
    <row r="24" spans="1:14" x14ac:dyDescent="0.25">
      <c r="A24" s="39" t="s">
        <v>118</v>
      </c>
      <c r="B24" s="40">
        <f>MROUND($F24+($F24*GlobalVariables!$B$3), 0.25)</f>
        <v>127.5</v>
      </c>
      <c r="C24" s="40">
        <f>'Aspect Ratios'!$H28</f>
        <v>2.5</v>
      </c>
      <c r="D24" s="40">
        <f t="shared" si="0"/>
        <v>1.25</v>
      </c>
      <c r="E24" s="40">
        <f>$D24*COS(PI()/GlobalVariables!$B$2)</f>
        <v>1.0825317547305484</v>
      </c>
      <c r="F24" s="40">
        <f>'Aspect Ratios'!$D$28</f>
        <v>95.609260816315157</v>
      </c>
      <c r="G24" s="40">
        <f>$C24*SIN(PI()/GlobalVariables!$B$2)</f>
        <v>1.2499999999999998</v>
      </c>
      <c r="H24" s="40">
        <f>2*($E24+GlobalVariables!$B$1)*TAN(PI()/GlobalVariables!$B$2)</f>
        <v>2.1160254037844388</v>
      </c>
      <c r="I24" s="40">
        <f>($F24/3)/COS(GlobalVariables!$B$4*PI()/180)</f>
        <v>32.312905669276702</v>
      </c>
      <c r="J24" s="40">
        <f>MROUND($D24+($F24/4)*TAN(GlobalVariables!$B$4*PI()/180), 0.001)</f>
        <v>5.25</v>
      </c>
      <c r="K24" s="40">
        <f t="shared" si="1"/>
        <v>1.2499999999999998</v>
      </c>
      <c r="L24" s="40">
        <f>$K24 +2*(0.75/COS(GlobalVariables!$D$2*PI()/180))*TAN(PI()/GlobalVariables!$B$2)</f>
        <v>2.2499999999999996</v>
      </c>
      <c r="M24" s="40">
        <f>$J24*SIN(PI()/GlobalVariables!$B$2)</f>
        <v>2.6249999999999996</v>
      </c>
      <c r="N24" s="40">
        <f>$M24+2*GlobalVariables!$B$1*TAN(PI()/GlobalVariables!$B$2)</f>
        <v>3.4910254037844384</v>
      </c>
    </row>
    <row r="25" spans="1:14" x14ac:dyDescent="0.25">
      <c r="A25" s="39" t="s">
        <v>119</v>
      </c>
      <c r="B25" s="40">
        <f>MROUND($F25+($F25*GlobalVariables!$B$3), 0.25)</f>
        <v>135</v>
      </c>
      <c r="C25" s="40">
        <f>'Aspect Ratios'!$H29</f>
        <v>2.5</v>
      </c>
      <c r="D25" s="40">
        <f t="shared" si="0"/>
        <v>1.25</v>
      </c>
      <c r="E25" s="40">
        <f>$D25*COS(PI()/GlobalVariables!$B$2)</f>
        <v>1.0825317547305484</v>
      </c>
      <c r="F25" s="40">
        <f>'Aspect Ratios'!$D$29</f>
        <v>101.24880128620286</v>
      </c>
      <c r="G25" s="40">
        <f>$C25*SIN(PI()/GlobalVariables!$B$2)</f>
        <v>1.2499999999999998</v>
      </c>
      <c r="H25" s="41">
        <f>2*($E25+GlobalVariables!$B$1)*TAN(PI()/GlobalVariables!$B$2)</f>
        <v>2.1160254037844388</v>
      </c>
      <c r="I25" s="40">
        <f>($F25/3)/COS(GlobalVariables!$B$4*PI()/180)</f>
        <v>34.218891947861685</v>
      </c>
      <c r="J25" s="40">
        <f>MROUND($D25+($F25/4)*TAN(GlobalVariables!$B$4*PI()/180), 0.001)</f>
        <v>5.4859999999999998</v>
      </c>
      <c r="K25" s="40">
        <f t="shared" si="1"/>
        <v>1.2499999999999998</v>
      </c>
      <c r="L25" s="40">
        <f>$K25 +2*(0.75/COS(GlobalVariables!$D$2*PI()/180))*TAN(PI()/GlobalVariables!$B$2)</f>
        <v>2.2499999999999996</v>
      </c>
      <c r="M25" s="40">
        <f>$J25*SIN(PI()/GlobalVariables!$B$2)</f>
        <v>2.7429999999999994</v>
      </c>
      <c r="N25" s="40">
        <f>$M25+2*GlobalVariables!$B$1*TAN(PI()/GlobalVariables!$B$2)</f>
        <v>3.6090254037844378</v>
      </c>
    </row>
    <row r="26" spans="1:14" x14ac:dyDescent="0.25">
      <c r="A26" s="39" t="s">
        <v>120</v>
      </c>
      <c r="B26" s="40">
        <f>MROUND($F26+($F26*GlobalVariables!$B$3), 0.25)</f>
        <v>143</v>
      </c>
      <c r="C26" s="40">
        <f>'Aspect Ratios'!$H30</f>
        <v>2.5</v>
      </c>
      <c r="D26" s="40">
        <f t="shared" si="0"/>
        <v>1.25</v>
      </c>
      <c r="E26" s="40">
        <f>$D26*COS(PI()/GlobalVariables!$B$2)</f>
        <v>1.0825317547305484</v>
      </c>
      <c r="F26" s="40">
        <f>'Aspect Ratios'!$D$30</f>
        <v>107.24184906932504</v>
      </c>
      <c r="G26" s="40">
        <f>$C26*SIN(PI()/GlobalVariables!$B$2)</f>
        <v>1.2499999999999998</v>
      </c>
      <c r="H26" s="41">
        <f>2*($E26+GlobalVariables!$B$1)*TAN(PI()/GlobalVariables!$B$2)</f>
        <v>2.1160254037844388</v>
      </c>
      <c r="I26" s="40">
        <f>($F26/3)/COS(GlobalVariables!$B$4*PI()/180)</f>
        <v>36.244352515531389</v>
      </c>
      <c r="J26" s="40">
        <f>MROUND($D26+($F26/4)*TAN(GlobalVariables!$B$4*PI()/180), 0.001)</f>
        <v>5.7370000000000001</v>
      </c>
      <c r="K26" s="40">
        <f t="shared" si="1"/>
        <v>1.2499999999999998</v>
      </c>
      <c r="L26" s="40">
        <f>$K26 +2*(0.75/COS(GlobalVariables!$D$2*PI()/180))*TAN(PI()/GlobalVariables!$B$2)</f>
        <v>2.2499999999999996</v>
      </c>
      <c r="M26" s="40">
        <f>$J26*SIN(PI()/GlobalVariables!$B$2)</f>
        <v>2.8684999999999996</v>
      </c>
      <c r="N26" s="40">
        <f>$M26+2*GlobalVariables!$B$1*TAN(PI()/GlobalVariables!$B$2)</f>
        <v>3.7345254037844384</v>
      </c>
    </row>
    <row r="27" spans="1:14" x14ac:dyDescent="0.25">
      <c r="G27" s="23"/>
      <c r="H27" s="24"/>
      <c r="I27" s="1"/>
      <c r="J27" s="1"/>
      <c r="K27" s="1"/>
      <c r="L27" s="1" t="s">
        <v>65</v>
      </c>
    </row>
    <row r="37" spans="17:17" x14ac:dyDescent="0.25">
      <c r="Q37" s="26"/>
    </row>
    <row r="38" spans="17:17" x14ac:dyDescent="0.25">
      <c r="Q38" s="26"/>
    </row>
    <row r="40" spans="17:17" x14ac:dyDescent="0.25">
      <c r="Q40" s="33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60"/>
  <sheetViews>
    <sheetView topLeftCell="A16" workbookViewId="0">
      <selection activeCell="B13" sqref="B13"/>
    </sheetView>
  </sheetViews>
  <sheetFormatPr defaultColWidth="8.85546875" defaultRowHeight="15" x14ac:dyDescent="0.25"/>
  <cols>
    <col min="1" max="1" width="7.42578125" style="15" bestFit="1" customWidth="1"/>
    <col min="2" max="2" width="14.42578125" style="1" bestFit="1" customWidth="1"/>
    <col min="3" max="3" width="15.42578125" style="1" bestFit="1" customWidth="1"/>
    <col min="4" max="4" width="15.7109375" style="1" bestFit="1" customWidth="1"/>
    <col min="5" max="6" width="9.7109375" style="1" bestFit="1" customWidth="1"/>
    <col min="7" max="7" width="9.7109375" style="2" bestFit="1" customWidth="1"/>
    <col min="8" max="8" width="11.85546875" style="2" bestFit="1" customWidth="1"/>
    <col min="9" max="9" width="18.85546875" style="2" bestFit="1" customWidth="1"/>
    <col min="10" max="16384" width="8.85546875" style="1"/>
  </cols>
  <sheetData>
    <row r="1" spans="1:9" x14ac:dyDescent="0.25">
      <c r="B1" s="49" t="s">
        <v>78</v>
      </c>
      <c r="C1" s="49"/>
      <c r="D1" s="1">
        <v>37</v>
      </c>
      <c r="E1" s="9"/>
    </row>
    <row r="2" spans="1:9" x14ac:dyDescent="0.25">
      <c r="B2" s="49" t="s">
        <v>75</v>
      </c>
      <c r="C2" s="49"/>
      <c r="D2" s="1">
        <f>331.6 + 0.6*$D$1</f>
        <v>353.8</v>
      </c>
      <c r="E2" s="10"/>
    </row>
    <row r="3" spans="1:9" x14ac:dyDescent="0.25">
      <c r="B3" s="49" t="s">
        <v>80</v>
      </c>
      <c r="C3" s="49"/>
      <c r="D3" s="12">
        <v>0.3</v>
      </c>
      <c r="E3" s="9"/>
    </row>
    <row r="5" spans="1:9" s="7" customFormat="1" x14ac:dyDescent="0.25">
      <c r="A5" s="15" t="s">
        <v>0</v>
      </c>
      <c r="B5" s="7" t="s">
        <v>77</v>
      </c>
      <c r="C5" s="7" t="s">
        <v>79</v>
      </c>
      <c r="D5" s="7" t="s">
        <v>76</v>
      </c>
      <c r="E5" s="7" t="s">
        <v>13</v>
      </c>
      <c r="F5" s="7" t="s">
        <v>3</v>
      </c>
      <c r="G5" s="14" t="s">
        <v>12</v>
      </c>
      <c r="H5" s="14" t="s">
        <v>4</v>
      </c>
      <c r="I5" s="14" t="s">
        <v>5</v>
      </c>
    </row>
    <row r="6" spans="1:9" x14ac:dyDescent="0.25">
      <c r="A6" s="39" t="s">
        <v>96</v>
      </c>
      <c r="B6" s="13">
        <v>130.81</v>
      </c>
      <c r="C6" s="13">
        <f t="shared" ref="C6:C30" si="0">$D$2/(4*B6)*100/2.54</f>
        <v>26.620927028261821</v>
      </c>
      <c r="D6" s="13">
        <f t="shared" ref="D6:D30" si="1">C6+$D$3*H6</f>
        <v>26.995927028261821</v>
      </c>
      <c r="E6" s="13">
        <f t="shared" ref="E6:E30" si="2">$D6/26</f>
        <v>1.0383048857023778</v>
      </c>
      <c r="F6" s="13">
        <f t="shared" ref="F6:F30" si="3">$D6/24</f>
        <v>1.1248302928442426</v>
      </c>
      <c r="G6" s="13">
        <f t="shared" ref="G6:G30" si="4">$D6/22</f>
        <v>1.2270875921937192</v>
      </c>
      <c r="H6" s="13">
        <v>1.25</v>
      </c>
      <c r="I6" s="13">
        <f t="shared" ref="I6:I30" si="5">D6/H6</f>
        <v>21.596741622609457</v>
      </c>
    </row>
    <row r="7" spans="1:9" x14ac:dyDescent="0.25">
      <c r="A7" s="39" t="s">
        <v>97</v>
      </c>
      <c r="B7" s="13">
        <v>123.47</v>
      </c>
      <c r="C7" s="13">
        <f t="shared" si="0"/>
        <v>28.20347829081501</v>
      </c>
      <c r="D7" s="13">
        <f t="shared" si="1"/>
        <v>28.57847829081501</v>
      </c>
      <c r="E7" s="13">
        <f t="shared" si="2"/>
        <v>1.0991722419544234</v>
      </c>
      <c r="F7" s="13">
        <f t="shared" si="3"/>
        <v>1.1907699287839588</v>
      </c>
      <c r="G7" s="13">
        <f t="shared" si="4"/>
        <v>1.2990217404915914</v>
      </c>
      <c r="H7" s="13">
        <v>1.25</v>
      </c>
      <c r="I7" s="13">
        <f t="shared" si="5"/>
        <v>22.862782632652006</v>
      </c>
    </row>
    <row r="8" spans="1:9" x14ac:dyDescent="0.25">
      <c r="A8" s="39" t="s">
        <v>98</v>
      </c>
      <c r="B8" s="13">
        <v>116.64</v>
      </c>
      <c r="C8" s="13">
        <f t="shared" si="0"/>
        <v>29.854967974682179</v>
      </c>
      <c r="D8" s="13">
        <f t="shared" si="1"/>
        <v>30.229967974682179</v>
      </c>
      <c r="E8" s="13">
        <f t="shared" si="2"/>
        <v>1.1626910759493145</v>
      </c>
      <c r="F8" s="13">
        <f t="shared" si="3"/>
        <v>1.2595819989450907</v>
      </c>
      <c r="G8" s="13">
        <f t="shared" si="4"/>
        <v>1.3740894533946444</v>
      </c>
      <c r="H8" s="13">
        <v>1.25</v>
      </c>
      <c r="I8" s="13">
        <f t="shared" si="5"/>
        <v>24.183974379745742</v>
      </c>
    </row>
    <row r="9" spans="1:9" x14ac:dyDescent="0.25">
      <c r="A9" s="39" t="s">
        <v>99</v>
      </c>
      <c r="B9" s="13">
        <v>110</v>
      </c>
      <c r="C9" s="13">
        <f t="shared" si="0"/>
        <v>31.657122405153899</v>
      </c>
      <c r="D9" s="13">
        <f t="shared" si="1"/>
        <v>32.032122405153899</v>
      </c>
      <c r="E9" s="13">
        <f t="shared" si="2"/>
        <v>1.2320047078905345</v>
      </c>
      <c r="F9" s="13">
        <f t="shared" si="3"/>
        <v>1.3346717668814125</v>
      </c>
      <c r="G9" s="13">
        <f t="shared" si="4"/>
        <v>1.4560055638706317</v>
      </c>
      <c r="H9" s="13">
        <v>1.25</v>
      </c>
      <c r="I9" s="13">
        <f t="shared" si="5"/>
        <v>25.62569792412312</v>
      </c>
    </row>
    <row r="10" spans="1:9" x14ac:dyDescent="0.25">
      <c r="A10" s="39" t="s">
        <v>100</v>
      </c>
      <c r="B10" s="13">
        <v>103.82</v>
      </c>
      <c r="C10" s="13">
        <f t="shared" si="0"/>
        <v>33.541547530022434</v>
      </c>
      <c r="D10" s="13">
        <f t="shared" si="1"/>
        <v>33.991547530022437</v>
      </c>
      <c r="E10" s="13">
        <f t="shared" si="2"/>
        <v>1.3073672126931706</v>
      </c>
      <c r="F10" s="13">
        <f t="shared" si="3"/>
        <v>1.4163144804176016</v>
      </c>
      <c r="G10" s="13">
        <f t="shared" si="4"/>
        <v>1.5450703422737471</v>
      </c>
      <c r="H10" s="13">
        <v>1.5</v>
      </c>
      <c r="I10" s="13">
        <f t="shared" si="5"/>
        <v>22.661031686681625</v>
      </c>
    </row>
    <row r="11" spans="1:9" x14ac:dyDescent="0.25">
      <c r="A11" s="39" t="s">
        <v>101</v>
      </c>
      <c r="B11" s="13">
        <v>98</v>
      </c>
      <c r="C11" s="13">
        <f t="shared" si="0"/>
        <v>35.533504740478868</v>
      </c>
      <c r="D11" s="13">
        <f t="shared" si="1"/>
        <v>35.983504740478871</v>
      </c>
      <c r="E11" s="13">
        <f t="shared" si="2"/>
        <v>1.3839809515568797</v>
      </c>
      <c r="F11" s="13">
        <f t="shared" si="3"/>
        <v>1.4993126975199529</v>
      </c>
      <c r="G11" s="13">
        <f t="shared" si="4"/>
        <v>1.6356138518399488</v>
      </c>
      <c r="H11" s="13">
        <v>1.5</v>
      </c>
      <c r="I11" s="13">
        <f t="shared" si="5"/>
        <v>23.989003160319246</v>
      </c>
    </row>
    <row r="12" spans="1:9" x14ac:dyDescent="0.25">
      <c r="A12" s="39" t="s">
        <v>102</v>
      </c>
      <c r="B12" s="13">
        <v>92.5</v>
      </c>
      <c r="C12" s="13">
        <f t="shared" si="0"/>
        <v>37.646307725047883</v>
      </c>
      <c r="D12" s="13">
        <f t="shared" si="1"/>
        <v>38.096307725047886</v>
      </c>
      <c r="E12" s="13">
        <f t="shared" si="2"/>
        <v>1.4652426048095342</v>
      </c>
      <c r="F12" s="13">
        <f t="shared" si="3"/>
        <v>1.5873461552103285</v>
      </c>
      <c r="G12" s="13">
        <f t="shared" si="4"/>
        <v>1.7316503511385404</v>
      </c>
      <c r="H12" s="13">
        <v>1.5</v>
      </c>
      <c r="I12" s="13">
        <f t="shared" si="5"/>
        <v>25.397538483365256</v>
      </c>
    </row>
    <row r="13" spans="1:9" x14ac:dyDescent="0.25">
      <c r="A13" s="39" t="s">
        <v>103</v>
      </c>
      <c r="B13" s="13">
        <v>87.31</v>
      </c>
      <c r="C13" s="13">
        <f t="shared" si="0"/>
        <v>39.884130850611953</v>
      </c>
      <c r="D13" s="13">
        <f t="shared" si="1"/>
        <v>40.334130850611956</v>
      </c>
      <c r="E13" s="13">
        <f t="shared" si="2"/>
        <v>1.5513127250235368</v>
      </c>
      <c r="F13" s="13">
        <f t="shared" si="3"/>
        <v>1.6805887854421648</v>
      </c>
      <c r="G13" s="13">
        <f t="shared" si="4"/>
        <v>1.8333695841187252</v>
      </c>
      <c r="H13" s="13">
        <v>1.5</v>
      </c>
      <c r="I13" s="13">
        <f t="shared" si="5"/>
        <v>26.889420567074637</v>
      </c>
    </row>
    <row r="14" spans="1:9" x14ac:dyDescent="0.25">
      <c r="A14" s="39" t="s">
        <v>104</v>
      </c>
      <c r="B14" s="13">
        <v>82.41</v>
      </c>
      <c r="C14" s="13">
        <f t="shared" si="0"/>
        <v>42.255593551352135</v>
      </c>
      <c r="D14" s="13">
        <f t="shared" si="1"/>
        <v>42.780593551352133</v>
      </c>
      <c r="E14" s="13">
        <f t="shared" si="2"/>
        <v>1.6454074442827744</v>
      </c>
      <c r="F14" s="13">
        <f t="shared" si="3"/>
        <v>1.7825247313063388</v>
      </c>
      <c r="G14" s="13">
        <f t="shared" si="4"/>
        <v>1.9445724341523698</v>
      </c>
      <c r="H14" s="13">
        <v>1.75</v>
      </c>
      <c r="I14" s="13">
        <f t="shared" si="5"/>
        <v>24.446053457915504</v>
      </c>
    </row>
    <row r="15" spans="1:9" x14ac:dyDescent="0.25">
      <c r="A15" s="39" t="s">
        <v>105</v>
      </c>
      <c r="B15" s="13">
        <v>77.78</v>
      </c>
      <c r="C15" s="13">
        <f t="shared" si="0"/>
        <v>44.770936803380422</v>
      </c>
      <c r="D15" s="13">
        <f t="shared" si="1"/>
        <v>45.295936803380421</v>
      </c>
      <c r="E15" s="13">
        <f t="shared" si="2"/>
        <v>1.7421514155146316</v>
      </c>
      <c r="F15" s="13">
        <f t="shared" si="3"/>
        <v>1.8873307001408508</v>
      </c>
      <c r="G15" s="13">
        <f t="shared" si="4"/>
        <v>2.0589062183354736</v>
      </c>
      <c r="H15" s="13">
        <v>1.75</v>
      </c>
      <c r="I15" s="13">
        <f t="shared" si="5"/>
        <v>25.883392459074525</v>
      </c>
    </row>
    <row r="16" spans="1:9" x14ac:dyDescent="0.25">
      <c r="A16" s="39" t="s">
        <v>106</v>
      </c>
      <c r="B16" s="13">
        <v>73.42</v>
      </c>
      <c r="C16" s="13">
        <f t="shared" si="0"/>
        <v>47.429630408157578</v>
      </c>
      <c r="D16" s="13">
        <f t="shared" si="1"/>
        <v>47.954630408157577</v>
      </c>
      <c r="E16" s="13">
        <f t="shared" si="2"/>
        <v>1.8444088618522145</v>
      </c>
      <c r="F16" s="13">
        <f t="shared" si="3"/>
        <v>1.998109600339899</v>
      </c>
      <c r="G16" s="13">
        <f t="shared" si="4"/>
        <v>2.1797559276435261</v>
      </c>
      <c r="H16" s="13">
        <v>1.75</v>
      </c>
      <c r="I16" s="13">
        <f t="shared" si="5"/>
        <v>27.402645947518614</v>
      </c>
    </row>
    <row r="17" spans="1:9" x14ac:dyDescent="0.25">
      <c r="A17" s="39" t="s">
        <v>107</v>
      </c>
      <c r="B17" s="13">
        <v>69.3</v>
      </c>
      <c r="C17" s="13">
        <f t="shared" si="0"/>
        <v>50.249400643101431</v>
      </c>
      <c r="D17" s="13">
        <f t="shared" si="1"/>
        <v>50.849400643101433</v>
      </c>
      <c r="E17" s="13">
        <f t="shared" si="2"/>
        <v>1.9557461785808243</v>
      </c>
      <c r="F17" s="13">
        <f t="shared" si="3"/>
        <v>2.118725026795893</v>
      </c>
      <c r="G17" s="13">
        <f t="shared" si="4"/>
        <v>2.3113363928682471</v>
      </c>
      <c r="H17" s="13">
        <v>2</v>
      </c>
      <c r="I17" s="13">
        <f t="shared" si="5"/>
        <v>25.424700321550716</v>
      </c>
    </row>
    <row r="18" spans="1:9" x14ac:dyDescent="0.25">
      <c r="A18" s="39" t="s">
        <v>108</v>
      </c>
      <c r="B18" s="13">
        <v>65.400000000000006</v>
      </c>
      <c r="C18" s="13">
        <f t="shared" si="0"/>
        <v>53.245924534662521</v>
      </c>
      <c r="D18" s="13">
        <f t="shared" si="1"/>
        <v>53.845924534662522</v>
      </c>
      <c r="E18" s="13">
        <f t="shared" si="2"/>
        <v>2.07099709748702</v>
      </c>
      <c r="F18" s="13">
        <f t="shared" si="3"/>
        <v>2.2435801889442719</v>
      </c>
      <c r="G18" s="13">
        <f t="shared" si="4"/>
        <v>2.4475420243028418</v>
      </c>
      <c r="H18" s="13">
        <v>2</v>
      </c>
      <c r="I18" s="13">
        <f t="shared" si="5"/>
        <v>26.922962267331261</v>
      </c>
    </row>
    <row r="19" spans="1:9" x14ac:dyDescent="0.25">
      <c r="A19" s="39" t="s">
        <v>109</v>
      </c>
      <c r="B19" s="13">
        <v>61.74</v>
      </c>
      <c r="C19" s="13">
        <f t="shared" si="0"/>
        <v>56.402388476950591</v>
      </c>
      <c r="D19" s="13">
        <f t="shared" si="1"/>
        <v>57.002388476950593</v>
      </c>
      <c r="E19" s="13">
        <f t="shared" si="2"/>
        <v>2.1923995568057921</v>
      </c>
      <c r="F19" s="13">
        <f t="shared" si="3"/>
        <v>2.3750995198729412</v>
      </c>
      <c r="G19" s="13">
        <f t="shared" si="4"/>
        <v>2.5910176580432087</v>
      </c>
      <c r="H19" s="13">
        <v>2</v>
      </c>
      <c r="I19" s="13">
        <f t="shared" si="5"/>
        <v>28.501194238475296</v>
      </c>
    </row>
    <row r="20" spans="1:9" x14ac:dyDescent="0.25">
      <c r="A20" s="39" t="s">
        <v>110</v>
      </c>
      <c r="B20" s="13">
        <v>58.27</v>
      </c>
      <c r="C20" s="13">
        <f t="shared" si="0"/>
        <v>59.761171521656578</v>
      </c>
      <c r="D20" s="13">
        <f t="shared" si="1"/>
        <v>60.436171521656576</v>
      </c>
      <c r="E20" s="13">
        <f t="shared" si="2"/>
        <v>2.3244681354483299</v>
      </c>
      <c r="F20" s="13">
        <f t="shared" si="3"/>
        <v>2.5181738134023575</v>
      </c>
      <c r="G20" s="13">
        <f t="shared" si="4"/>
        <v>2.7470987055298441</v>
      </c>
      <c r="H20" s="13">
        <v>2.25</v>
      </c>
      <c r="I20" s="13">
        <f t="shared" si="5"/>
        <v>26.860520676291813</v>
      </c>
    </row>
    <row r="21" spans="1:9" x14ac:dyDescent="0.25">
      <c r="A21" s="39" t="s">
        <v>111</v>
      </c>
      <c r="B21" s="13">
        <v>55</v>
      </c>
      <c r="C21" s="13">
        <f t="shared" si="0"/>
        <v>63.314244810307798</v>
      </c>
      <c r="D21" s="13">
        <f t="shared" si="1"/>
        <v>63.989244810307795</v>
      </c>
      <c r="E21" s="13">
        <f t="shared" si="2"/>
        <v>2.4611248003964539</v>
      </c>
      <c r="F21" s="13">
        <f t="shared" si="3"/>
        <v>2.6662185337628248</v>
      </c>
      <c r="G21" s="13">
        <f t="shared" si="4"/>
        <v>2.9086020368321726</v>
      </c>
      <c r="H21" s="13">
        <v>2.25</v>
      </c>
      <c r="I21" s="13">
        <f t="shared" si="5"/>
        <v>28.439664360136799</v>
      </c>
    </row>
    <row r="22" spans="1:9" x14ac:dyDescent="0.25">
      <c r="A22" s="39" t="s">
        <v>112</v>
      </c>
      <c r="B22" s="13">
        <v>51.91</v>
      </c>
      <c r="C22" s="13">
        <f t="shared" si="0"/>
        <v>67.083095060044869</v>
      </c>
      <c r="D22" s="13">
        <f t="shared" si="1"/>
        <v>67.758095060044866</v>
      </c>
      <c r="E22" s="13">
        <f t="shared" si="2"/>
        <v>2.6060805792324948</v>
      </c>
      <c r="F22" s="13">
        <f t="shared" si="3"/>
        <v>2.8232539608352027</v>
      </c>
      <c r="G22" s="13">
        <f t="shared" si="4"/>
        <v>3.0799134118202214</v>
      </c>
      <c r="H22" s="13">
        <v>2.25</v>
      </c>
      <c r="I22" s="13">
        <f t="shared" si="5"/>
        <v>30.114708915575495</v>
      </c>
    </row>
    <row r="23" spans="1:9" x14ac:dyDescent="0.25">
      <c r="A23" s="39" t="s">
        <v>113</v>
      </c>
      <c r="B23" s="16">
        <v>49</v>
      </c>
      <c r="C23" s="13">
        <f t="shared" si="0"/>
        <v>71.067009480957736</v>
      </c>
      <c r="D23" s="13">
        <f t="shared" si="1"/>
        <v>71.742009480957734</v>
      </c>
      <c r="E23" s="13">
        <f t="shared" si="2"/>
        <v>2.7593080569599127</v>
      </c>
      <c r="F23" s="13">
        <f t="shared" si="3"/>
        <v>2.9892503950399054</v>
      </c>
      <c r="G23" s="13">
        <f t="shared" si="4"/>
        <v>3.2610004309526244</v>
      </c>
      <c r="H23" s="13">
        <v>2.25</v>
      </c>
      <c r="I23" s="13">
        <f t="shared" si="5"/>
        <v>31.885337547092327</v>
      </c>
    </row>
    <row r="24" spans="1:9" x14ac:dyDescent="0.25">
      <c r="A24" s="39" t="s">
        <v>114</v>
      </c>
      <c r="B24" s="16">
        <v>46.25</v>
      </c>
      <c r="C24" s="13">
        <f t="shared" si="0"/>
        <v>75.292615450095767</v>
      </c>
      <c r="D24" s="13">
        <f t="shared" si="1"/>
        <v>75.967615450095764</v>
      </c>
      <c r="E24" s="13">
        <f t="shared" si="2"/>
        <v>2.9218313634652215</v>
      </c>
      <c r="F24" s="13">
        <f t="shared" si="3"/>
        <v>3.1653173104206567</v>
      </c>
      <c r="G24" s="13">
        <f t="shared" si="4"/>
        <v>3.4530734295498076</v>
      </c>
      <c r="H24" s="13">
        <v>2.25</v>
      </c>
      <c r="I24" s="13">
        <f t="shared" si="5"/>
        <v>33.763384644487004</v>
      </c>
    </row>
    <row r="25" spans="1:9" x14ac:dyDescent="0.25">
      <c r="A25" s="39" t="s">
        <v>115</v>
      </c>
      <c r="B25" s="16">
        <v>43.66</v>
      </c>
      <c r="C25" s="13">
        <f t="shared" si="0"/>
        <v>79.759126536118401</v>
      </c>
      <c r="D25" s="13">
        <f t="shared" si="1"/>
        <v>80.509126536118401</v>
      </c>
      <c r="E25" s="13">
        <f t="shared" si="2"/>
        <v>3.0965048667737847</v>
      </c>
      <c r="F25" s="13">
        <f t="shared" si="3"/>
        <v>3.3545469390049334</v>
      </c>
      <c r="G25" s="13">
        <f t="shared" si="4"/>
        <v>3.6595057516417455</v>
      </c>
      <c r="H25" s="16">
        <v>2.5</v>
      </c>
      <c r="I25" s="13">
        <f t="shared" si="5"/>
        <v>32.203650614447362</v>
      </c>
    </row>
    <row r="26" spans="1:9" x14ac:dyDescent="0.25">
      <c r="A26" s="39" t="s">
        <v>116</v>
      </c>
      <c r="B26" s="16">
        <v>41.2</v>
      </c>
      <c r="C26" s="13">
        <f t="shared" si="0"/>
        <v>84.521443314731286</v>
      </c>
      <c r="D26" s="13">
        <f t="shared" si="1"/>
        <v>85.271443314731286</v>
      </c>
      <c r="E26" s="13">
        <f t="shared" si="2"/>
        <v>3.2796708967204342</v>
      </c>
      <c r="F26" s="13">
        <f t="shared" si="3"/>
        <v>3.5529768047804704</v>
      </c>
      <c r="G26" s="13">
        <f t="shared" si="4"/>
        <v>3.8759746961241492</v>
      </c>
      <c r="H26" s="16">
        <v>2.5</v>
      </c>
      <c r="I26" s="13">
        <f t="shared" si="5"/>
        <v>34.108577325892512</v>
      </c>
    </row>
    <row r="27" spans="1:9" x14ac:dyDescent="0.25">
      <c r="A27" s="39" t="s">
        <v>117</v>
      </c>
      <c r="B27" s="16">
        <v>38.89</v>
      </c>
      <c r="C27" s="13">
        <f t="shared" si="0"/>
        <v>89.541873606760845</v>
      </c>
      <c r="D27" s="13">
        <f t="shared" si="1"/>
        <v>90.291873606760845</v>
      </c>
      <c r="E27" s="13">
        <f t="shared" si="2"/>
        <v>3.4727643694908017</v>
      </c>
      <c r="F27" s="13">
        <f t="shared" si="3"/>
        <v>3.7621614002817019</v>
      </c>
      <c r="G27" s="13">
        <f t="shared" si="4"/>
        <v>4.1041760730345835</v>
      </c>
      <c r="H27" s="16">
        <v>2.5</v>
      </c>
      <c r="I27" s="13">
        <f t="shared" si="5"/>
        <v>36.116749442704339</v>
      </c>
    </row>
    <row r="28" spans="1:9" x14ac:dyDescent="0.25">
      <c r="A28" s="39" t="s">
        <v>118</v>
      </c>
      <c r="B28" s="16">
        <v>36.71</v>
      </c>
      <c r="C28" s="13">
        <f t="shared" si="0"/>
        <v>94.859260816315157</v>
      </c>
      <c r="D28" s="13">
        <f t="shared" si="1"/>
        <v>95.609260816315157</v>
      </c>
      <c r="E28" s="13">
        <f t="shared" si="2"/>
        <v>3.6772792621659676</v>
      </c>
      <c r="F28" s="13">
        <f t="shared" si="3"/>
        <v>3.9837192006797983</v>
      </c>
      <c r="G28" s="13">
        <f t="shared" si="4"/>
        <v>4.3458754916506885</v>
      </c>
      <c r="H28" s="16">
        <v>2.5</v>
      </c>
      <c r="I28" s="13">
        <f t="shared" si="5"/>
        <v>38.243704326526064</v>
      </c>
    </row>
    <row r="29" spans="1:9" x14ac:dyDescent="0.25">
      <c r="A29" s="39" t="s">
        <v>119</v>
      </c>
      <c r="B29" s="16">
        <v>34.65</v>
      </c>
      <c r="C29" s="13">
        <f t="shared" si="0"/>
        <v>100.49880128620286</v>
      </c>
      <c r="D29" s="13">
        <f t="shared" si="1"/>
        <v>101.24880128620286</v>
      </c>
      <c r="E29" s="13">
        <f t="shared" si="2"/>
        <v>3.8941846648539564</v>
      </c>
      <c r="F29" s="13">
        <f t="shared" si="3"/>
        <v>4.2187000535917862</v>
      </c>
      <c r="G29" s="13">
        <f t="shared" si="4"/>
        <v>4.6022182402819487</v>
      </c>
      <c r="H29" s="16">
        <v>2.5</v>
      </c>
      <c r="I29" s="13">
        <f t="shared" si="5"/>
        <v>40.499520514481148</v>
      </c>
    </row>
    <row r="30" spans="1:9" x14ac:dyDescent="0.25">
      <c r="A30" s="39" t="s">
        <v>120</v>
      </c>
      <c r="B30" s="16">
        <v>32.700000000000003</v>
      </c>
      <c r="C30" s="13">
        <f t="shared" si="0"/>
        <v>106.49184906932504</v>
      </c>
      <c r="D30" s="13">
        <f t="shared" si="1"/>
        <v>107.24184906932504</v>
      </c>
      <c r="E30" s="13">
        <f t="shared" si="2"/>
        <v>4.1246865026663482</v>
      </c>
      <c r="F30" s="13">
        <f t="shared" si="3"/>
        <v>4.4684103778885431</v>
      </c>
      <c r="G30" s="13">
        <f t="shared" si="4"/>
        <v>4.8746295031511382</v>
      </c>
      <c r="H30" s="16">
        <v>2.5</v>
      </c>
      <c r="I30" s="13">
        <f t="shared" si="5"/>
        <v>42.896739627730014</v>
      </c>
    </row>
    <row r="31" spans="1:9" x14ac:dyDescent="0.25">
      <c r="H31" s="1"/>
      <c r="I31" s="1"/>
    </row>
    <row r="32" spans="1:9" x14ac:dyDescent="0.25">
      <c r="H32" s="1"/>
      <c r="I32" s="1"/>
    </row>
    <row r="33" spans="8:9" x14ac:dyDescent="0.25">
      <c r="H33" s="1"/>
      <c r="I33" s="1"/>
    </row>
    <row r="34" spans="8:9" x14ac:dyDescent="0.25">
      <c r="H34" s="1"/>
      <c r="I34" s="1"/>
    </row>
    <row r="35" spans="8:9" x14ac:dyDescent="0.25">
      <c r="H35" s="1"/>
      <c r="I35" s="1"/>
    </row>
    <row r="36" spans="8:9" x14ac:dyDescent="0.25">
      <c r="H36" s="1"/>
      <c r="I36" s="1"/>
    </row>
    <row r="37" spans="8:9" x14ac:dyDescent="0.25">
      <c r="H37" s="1"/>
      <c r="I37" s="1"/>
    </row>
    <row r="38" spans="8:9" x14ac:dyDescent="0.25">
      <c r="H38" s="1"/>
      <c r="I38" s="1"/>
    </row>
    <row r="39" spans="8:9" x14ac:dyDescent="0.25">
      <c r="H39" s="1"/>
      <c r="I39" s="1"/>
    </row>
    <row r="40" spans="8:9" x14ac:dyDescent="0.25">
      <c r="H40" s="1"/>
      <c r="I40" s="1"/>
    </row>
    <row r="41" spans="8:9" x14ac:dyDescent="0.25">
      <c r="H41" s="1"/>
      <c r="I41" s="1"/>
    </row>
    <row r="42" spans="8:9" x14ac:dyDescent="0.25">
      <c r="H42" s="1"/>
      <c r="I42" s="1"/>
    </row>
    <row r="43" spans="8:9" x14ac:dyDescent="0.25">
      <c r="H43" s="1"/>
      <c r="I43" s="1"/>
    </row>
    <row r="44" spans="8:9" x14ac:dyDescent="0.25">
      <c r="H44" s="1"/>
      <c r="I44" s="1"/>
    </row>
    <row r="45" spans="8:9" x14ac:dyDescent="0.25">
      <c r="H45" s="1"/>
      <c r="I45" s="1"/>
    </row>
    <row r="46" spans="8:9" x14ac:dyDescent="0.25">
      <c r="H46" s="1"/>
      <c r="I46" s="1"/>
    </row>
    <row r="47" spans="8:9" x14ac:dyDescent="0.25">
      <c r="H47" s="1"/>
      <c r="I47" s="1"/>
    </row>
    <row r="48" spans="8:9" x14ac:dyDescent="0.25">
      <c r="H48" s="1"/>
      <c r="I48" s="1"/>
    </row>
    <row r="49" spans="8:9" x14ac:dyDescent="0.25">
      <c r="H49" s="1"/>
      <c r="I49" s="1"/>
    </row>
    <row r="50" spans="8:9" x14ac:dyDescent="0.25">
      <c r="H50" s="1"/>
      <c r="I50" s="1"/>
    </row>
    <row r="51" spans="8:9" x14ac:dyDescent="0.25">
      <c r="H51" s="1"/>
      <c r="I51" s="1"/>
    </row>
    <row r="52" spans="8:9" x14ac:dyDescent="0.25">
      <c r="H52" s="1"/>
      <c r="I52" s="1"/>
    </row>
    <row r="53" spans="8:9" x14ac:dyDescent="0.25">
      <c r="H53" s="1"/>
      <c r="I53" s="1"/>
    </row>
    <row r="54" spans="8:9" x14ac:dyDescent="0.25">
      <c r="H54" s="1"/>
      <c r="I54" s="1"/>
    </row>
    <row r="55" spans="8:9" x14ac:dyDescent="0.25">
      <c r="H55" s="1"/>
      <c r="I55" s="1"/>
    </row>
    <row r="56" spans="8:9" x14ac:dyDescent="0.25">
      <c r="H56" s="1"/>
      <c r="I56" s="1"/>
    </row>
    <row r="57" spans="8:9" x14ac:dyDescent="0.25">
      <c r="H57" s="1"/>
      <c r="I57" s="1"/>
    </row>
    <row r="58" spans="8:9" x14ac:dyDescent="0.25">
      <c r="H58" s="1"/>
      <c r="I58" s="1"/>
    </row>
    <row r="59" spans="8:9" x14ac:dyDescent="0.25">
      <c r="H59" s="1"/>
      <c r="I59" s="1"/>
    </row>
    <row r="60" spans="8:9" x14ac:dyDescent="0.25">
      <c r="H60" s="1"/>
      <c r="I60" s="1"/>
    </row>
  </sheetData>
  <mergeCells count="3">
    <mergeCell ref="B1:C1"/>
    <mergeCell ref="B2:C2"/>
    <mergeCell ref="B3:C3"/>
  </mergeCells>
  <pageMargins left="0.7" right="0.7" top="0.75" bottom="0.75" header="0.3" footer="0.3"/>
  <pageSetup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>
      <selection activeCell="A29" sqref="A29:M39"/>
    </sheetView>
  </sheetViews>
  <sheetFormatPr defaultColWidth="8.85546875" defaultRowHeight="15" x14ac:dyDescent="0.25"/>
  <cols>
    <col min="1" max="1" width="33.28515625" bestFit="1" customWidth="1"/>
    <col min="2" max="2" width="21.42578125" bestFit="1" customWidth="1"/>
    <col min="3" max="3" width="18.28515625" bestFit="1" customWidth="1"/>
    <col min="5" max="5" width="11.28515625" bestFit="1" customWidth="1"/>
  </cols>
  <sheetData>
    <row r="1" spans="1:5" x14ac:dyDescent="0.25">
      <c r="A1" s="3" t="s">
        <v>29</v>
      </c>
      <c r="B1" s="3" t="s">
        <v>28</v>
      </c>
      <c r="C1" s="3" t="s">
        <v>30</v>
      </c>
      <c r="D1" s="3" t="s">
        <v>31</v>
      </c>
      <c r="E1" s="3" t="s">
        <v>32</v>
      </c>
    </row>
    <row r="2" spans="1:5" x14ac:dyDescent="0.25">
      <c r="A2" t="s">
        <v>41</v>
      </c>
      <c r="B2" t="s">
        <v>15</v>
      </c>
      <c r="C2" t="s">
        <v>42</v>
      </c>
    </row>
    <row r="3" spans="1:5" x14ac:dyDescent="0.25">
      <c r="A3" t="s">
        <v>14</v>
      </c>
      <c r="B3" t="s">
        <v>33</v>
      </c>
      <c r="D3" t="s">
        <v>34</v>
      </c>
      <c r="E3" t="s">
        <v>35</v>
      </c>
    </row>
    <row r="4" spans="1:5" x14ac:dyDescent="0.25">
      <c r="A4" t="s">
        <v>37</v>
      </c>
      <c r="B4" t="s">
        <v>15</v>
      </c>
      <c r="C4" t="s">
        <v>36</v>
      </c>
      <c r="D4" t="s">
        <v>2</v>
      </c>
      <c r="E4" t="s">
        <v>38</v>
      </c>
    </row>
    <row r="5" spans="1:5" x14ac:dyDescent="0.25">
      <c r="A5" t="s">
        <v>39</v>
      </c>
      <c r="B5" t="s">
        <v>15</v>
      </c>
      <c r="C5" t="s">
        <v>36</v>
      </c>
      <c r="D5" t="s">
        <v>1</v>
      </c>
      <c r="E5" t="s">
        <v>26</v>
      </c>
    </row>
    <row r="6" spans="1:5" x14ac:dyDescent="0.25">
      <c r="A6" t="s">
        <v>22</v>
      </c>
      <c r="B6" t="s">
        <v>15</v>
      </c>
      <c r="C6" t="s">
        <v>40</v>
      </c>
      <c r="D6" t="s">
        <v>2</v>
      </c>
      <c r="E6" t="s">
        <v>27</v>
      </c>
    </row>
    <row r="7" spans="1:5" x14ac:dyDescent="0.25">
      <c r="A7" t="s">
        <v>23</v>
      </c>
      <c r="B7" t="s">
        <v>15</v>
      </c>
    </row>
    <row r="8" spans="1:5" x14ac:dyDescent="0.25">
      <c r="A8" t="s">
        <v>20</v>
      </c>
      <c r="B8" t="s">
        <v>16</v>
      </c>
      <c r="C8" t="s">
        <v>25</v>
      </c>
    </row>
    <row r="9" spans="1:5" x14ac:dyDescent="0.25">
      <c r="A9" t="s">
        <v>19</v>
      </c>
      <c r="B9" t="s">
        <v>16</v>
      </c>
      <c r="C9" t="s">
        <v>25</v>
      </c>
    </row>
    <row r="10" spans="1:5" x14ac:dyDescent="0.25">
      <c r="A10" t="s">
        <v>18</v>
      </c>
      <c r="B10" t="s">
        <v>15</v>
      </c>
    </row>
    <row r="11" spans="1:5" x14ac:dyDescent="0.25">
      <c r="A11" t="s">
        <v>21</v>
      </c>
      <c r="B11" t="s">
        <v>17</v>
      </c>
    </row>
    <row r="12" spans="1:5" x14ac:dyDescent="0.25">
      <c r="A12" t="s">
        <v>24</v>
      </c>
      <c r="B12" t="s">
        <v>15</v>
      </c>
    </row>
    <row r="13" spans="1:5" x14ac:dyDescent="0.25">
      <c r="A13" s="35">
        <v>41419</v>
      </c>
    </row>
    <row r="14" spans="1:5" x14ac:dyDescent="0.25">
      <c r="A14" t="s">
        <v>81</v>
      </c>
    </row>
    <row r="15" spans="1:5" x14ac:dyDescent="0.25">
      <c r="A15" s="36" t="s">
        <v>82</v>
      </c>
    </row>
    <row r="17" spans="1:13" x14ac:dyDescent="0.25">
      <c r="A17" t="s">
        <v>83</v>
      </c>
    </row>
    <row r="18" spans="1:13" x14ac:dyDescent="0.25">
      <c r="A18" t="s">
        <v>85</v>
      </c>
      <c r="B18" t="s">
        <v>86</v>
      </c>
      <c r="C18" t="s">
        <v>84</v>
      </c>
      <c r="D18" t="s">
        <v>87</v>
      </c>
    </row>
    <row r="19" spans="1:13" x14ac:dyDescent="0.25">
      <c r="A19">
        <v>4</v>
      </c>
      <c r="B19">
        <v>8</v>
      </c>
      <c r="C19">
        <v>29</v>
      </c>
      <c r="D19">
        <f>(C19/(A19*B19))</f>
        <v>0.90625</v>
      </c>
    </row>
    <row r="20" spans="1:13" x14ac:dyDescent="0.25">
      <c r="A20">
        <v>5</v>
      </c>
      <c r="B20">
        <v>8</v>
      </c>
      <c r="C20">
        <v>34</v>
      </c>
      <c r="D20">
        <f t="shared" ref="D20:D23" si="0">(C20/(A20*B20))</f>
        <v>0.85</v>
      </c>
    </row>
    <row r="21" spans="1:13" x14ac:dyDescent="0.25">
      <c r="A21">
        <v>4</v>
      </c>
      <c r="B21">
        <v>10</v>
      </c>
      <c r="C21">
        <v>37</v>
      </c>
      <c r="D21">
        <f t="shared" si="0"/>
        <v>0.92500000000000004</v>
      </c>
    </row>
    <row r="22" spans="1:13" x14ac:dyDescent="0.25">
      <c r="A22">
        <v>3</v>
      </c>
      <c r="B22">
        <v>12</v>
      </c>
      <c r="C22">
        <v>35</v>
      </c>
      <c r="D22">
        <f t="shared" si="0"/>
        <v>0.97222222222222221</v>
      </c>
    </row>
    <row r="23" spans="1:13" x14ac:dyDescent="0.25">
      <c r="A23">
        <v>5</v>
      </c>
      <c r="B23">
        <v>5</v>
      </c>
      <c r="C23">
        <v>27</v>
      </c>
      <c r="D23">
        <f t="shared" si="0"/>
        <v>1.08</v>
      </c>
    </row>
    <row r="30" spans="1:13" x14ac:dyDescent="0.25">
      <c r="A30" s="11" t="s">
        <v>51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13" x14ac:dyDescent="0.25">
      <c r="A31" s="8" t="s">
        <v>57</v>
      </c>
      <c r="B31" s="30" t="s">
        <v>44</v>
      </c>
      <c r="C31" s="30" t="s">
        <v>45</v>
      </c>
      <c r="D31" s="30" t="s">
        <v>46</v>
      </c>
      <c r="E31" s="30" t="s">
        <v>47</v>
      </c>
      <c r="F31" s="2"/>
      <c r="G31" s="2"/>
      <c r="H31" s="2"/>
      <c r="I31" s="7" t="s">
        <v>48</v>
      </c>
      <c r="J31" s="1"/>
      <c r="K31" s="2"/>
      <c r="L31" s="2"/>
      <c r="M31" s="2"/>
    </row>
    <row r="32" spans="1:13" x14ac:dyDescent="0.25">
      <c r="A32" s="22" t="s">
        <v>58</v>
      </c>
      <c r="B32" s="2"/>
      <c r="C32" s="6"/>
      <c r="D32" s="6"/>
      <c r="E32" s="6"/>
      <c r="F32" s="6"/>
      <c r="G32" s="2"/>
      <c r="H32" s="2"/>
      <c r="I32" s="51" t="s">
        <v>6</v>
      </c>
      <c r="J32" s="51"/>
      <c r="K32" s="51"/>
      <c r="L32" s="29" t="s">
        <v>7</v>
      </c>
      <c r="M32" s="2"/>
    </row>
    <row r="33" spans="1:13" x14ac:dyDescent="0.25">
      <c r="A33" s="7" t="s">
        <v>52</v>
      </c>
      <c r="B33" s="2"/>
      <c r="C33" s="50" t="s">
        <v>53</v>
      </c>
      <c r="D33" s="50"/>
      <c r="E33" s="50"/>
      <c r="F33" s="50"/>
      <c r="G33" s="2"/>
      <c r="H33" s="2"/>
      <c r="I33" s="52" t="s">
        <v>6</v>
      </c>
      <c r="J33" s="52"/>
      <c r="K33" s="52"/>
      <c r="L33" s="28" t="s">
        <v>7</v>
      </c>
      <c r="M33" s="2"/>
    </row>
    <row r="34" spans="1:13" x14ac:dyDescent="0.25">
      <c r="A34" s="5" t="s">
        <v>6</v>
      </c>
      <c r="B34" s="4"/>
      <c r="C34" s="52" t="s">
        <v>6</v>
      </c>
      <c r="D34" s="52"/>
      <c r="E34" s="52"/>
      <c r="F34" s="52"/>
      <c r="G34" s="2"/>
      <c r="H34" s="2"/>
      <c r="I34" s="51" t="s">
        <v>8</v>
      </c>
      <c r="J34" s="51"/>
      <c r="K34" s="51"/>
      <c r="L34" s="29" t="s">
        <v>11</v>
      </c>
      <c r="M34" s="2"/>
    </row>
    <row r="35" spans="1:13" x14ac:dyDescent="0.25">
      <c r="A35" s="5" t="s">
        <v>49</v>
      </c>
      <c r="B35" s="4"/>
      <c r="C35" s="52" t="s">
        <v>49</v>
      </c>
      <c r="D35" s="52"/>
      <c r="E35" s="52"/>
      <c r="F35" s="52"/>
      <c r="G35" s="2"/>
      <c r="H35" s="2"/>
      <c r="I35" s="52" t="s">
        <v>8</v>
      </c>
      <c r="J35" s="52"/>
      <c r="K35" s="52"/>
      <c r="L35" s="28" t="s">
        <v>11</v>
      </c>
      <c r="M35" s="2"/>
    </row>
    <row r="36" spans="1:13" x14ac:dyDescent="0.25">
      <c r="A36" s="5" t="s">
        <v>9</v>
      </c>
      <c r="B36" s="4"/>
      <c r="C36" s="52" t="s">
        <v>9</v>
      </c>
      <c r="D36" s="52"/>
      <c r="E36" s="52"/>
      <c r="F36" s="52"/>
      <c r="G36" s="2"/>
      <c r="H36" s="2"/>
      <c r="I36" s="51" t="s">
        <v>9</v>
      </c>
      <c r="J36" s="51"/>
      <c r="K36" s="51"/>
      <c r="L36" s="29" t="s">
        <v>10</v>
      </c>
      <c r="M36" s="2"/>
    </row>
    <row r="37" spans="1:13" x14ac:dyDescent="0.25">
      <c r="A37" s="5" t="s">
        <v>50</v>
      </c>
      <c r="B37" s="4"/>
      <c r="C37" s="52" t="s">
        <v>50</v>
      </c>
      <c r="D37" s="52"/>
      <c r="E37" s="52"/>
      <c r="F37" s="52"/>
      <c r="G37" s="2"/>
      <c r="H37" s="2"/>
      <c r="I37" s="52" t="s">
        <v>9</v>
      </c>
      <c r="J37" s="52"/>
      <c r="K37" s="52"/>
      <c r="L37" s="28" t="s">
        <v>10</v>
      </c>
      <c r="M37" s="2"/>
    </row>
    <row r="38" spans="1:13" x14ac:dyDescent="0.25">
      <c r="A38" s="2" t="s">
        <v>56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</sheetData>
  <mergeCells count="11">
    <mergeCell ref="I36:K36"/>
    <mergeCell ref="I37:K37"/>
    <mergeCell ref="C34:F34"/>
    <mergeCell ref="C35:F35"/>
    <mergeCell ref="C36:F36"/>
    <mergeCell ref="C37:F37"/>
    <mergeCell ref="C33:F33"/>
    <mergeCell ref="I32:K32"/>
    <mergeCell ref="I33:K33"/>
    <mergeCell ref="I34:K34"/>
    <mergeCell ref="I35:K35"/>
  </mergeCells>
  <hyperlinks>
    <hyperlink ref="A15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GlobalVariables</vt:lpstr>
      <vt:lpstr>Design Table</vt:lpstr>
      <vt:lpstr>Aspect Ratios</vt:lpstr>
      <vt:lpstr>Method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2013-04-30T22:38:32Z</cp:lastPrinted>
  <dcterms:created xsi:type="dcterms:W3CDTF">2013-04-20T21:12:38Z</dcterms:created>
  <dcterms:modified xsi:type="dcterms:W3CDTF">2013-08-21T23:58:01Z</dcterms:modified>
</cp:coreProperties>
</file>